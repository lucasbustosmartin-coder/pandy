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b/LyP/Pandi/docs/"/>
    </mc:Choice>
  </mc:AlternateContent>
  <xr:revisionPtr revIDLastSave="0" documentId="13_ncr:1_{8CAFBC48-3104-0744-B275-D6DB5FA84A95}" xr6:coauthVersionLast="47" xr6:coauthVersionMax="47" xr10:uidLastSave="{00000000-0000-0000-0000-000000000000}"/>
  <bookViews>
    <workbookView xWindow="0" yWindow="660" windowWidth="29400" windowHeight="17280" activeTab="3" xr2:uid="{00000000-000D-0000-FFFF-FFFF00000000}"/>
  </bookViews>
  <sheets>
    <sheet name="CC detalle movimientos" sheetId="1" r:id="rId1"/>
    <sheet name="Hoja1" sheetId="2" r:id="rId2"/>
    <sheet name="Rou" sheetId="3" r:id="rId3"/>
    <sheet name="Hoja3" sheetId="4" r:id="rId4"/>
  </sheets>
  <definedNames>
    <definedName name="_xlnm._FilterDatabase" localSheetId="0" hidden="1">'CC detalle movimientos'!A4:L40</definedName>
    <definedName name="_xlnm._FilterDatabase" localSheetId="1" hidden="1">Hoja1!$A$5:$Y$416</definedName>
    <definedName name="_xlnm._FilterDatabase" localSheetId="2" hidden="1">Rou!$A$5:$J$93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6" i="3"/>
  <c r="J3" i="3"/>
  <c r="J3" i="2"/>
  <c r="F2" i="1"/>
</calcChain>
</file>

<file path=xl/sharedStrings.xml><?xml version="1.0" encoding="utf-8"?>
<sst xmlns="http://schemas.openxmlformats.org/spreadsheetml/2006/main" count="2361" uniqueCount="795">
  <si>
    <t>Exportado por</t>
  </si>
  <si>
    <t>LMB</t>
  </si>
  <si>
    <t>Fecha y hora exportación (Argentina)</t>
  </si>
  <si>
    <t>15/04/2026, 11:57:15</t>
  </si>
  <si>
    <t>Fecha</t>
  </si>
  <si>
    <t>Tipo op.</t>
  </si>
  <si>
    <t>Orden</t>
  </si>
  <si>
    <t>Trans.</t>
  </si>
  <si>
    <t>Concepto</t>
  </si>
  <si>
    <t>USD</t>
  </si>
  <si>
    <t>ARS</t>
  </si>
  <si>
    <t>EUR</t>
  </si>
  <si>
    <t>Estado</t>
  </si>
  <si>
    <t>Pagador</t>
  </si>
  <si>
    <t>Cobrador</t>
  </si>
  <si>
    <t>Usuario</t>
  </si>
  <si>
    <t>2026-04-06</t>
  </si>
  <si>
    <t>USD-USD</t>
  </si>
  <si>
    <t>Comisión del acuerdo - Orden 4 y Trans 7</t>
  </si>
  <si>
    <t>Cerrado</t>
  </si>
  <si>
    <t>Madero</t>
  </si>
  <si>
    <t>Rou</t>
  </si>
  <si>
    <t>JD</t>
  </si>
  <si>
    <t>Cobro Realizado - Orden 4 y Trans 7</t>
  </si>
  <si>
    <t>Iturralde</t>
  </si>
  <si>
    <t>HP</t>
  </si>
  <si>
    <t>Comisión del acuerdo - Orden 8 y Trans 18</t>
  </si>
  <si>
    <t>Compromiso de Pago - Orden 8 y Trans 19</t>
  </si>
  <si>
    <t>Alexis Zabala ( Whyndam)</t>
  </si>
  <si>
    <t>2026-04-08</t>
  </si>
  <si>
    <t>Cobro Realizado - Orden 18 y Trans 53</t>
  </si>
  <si>
    <t>Serfin</t>
  </si>
  <si>
    <t>LS</t>
  </si>
  <si>
    <t>Comisión del acuerdo - Orden 18 y Trans 53</t>
  </si>
  <si>
    <t>Comisión del acuerdo - Orden 19 y Trans 55</t>
  </si>
  <si>
    <t>Cobro Realizado - Orden 19 y Trans 55</t>
  </si>
  <si>
    <t>Cobro Realizado - Orden 20 y Trans 57</t>
  </si>
  <si>
    <t>Anabella</t>
  </si>
  <si>
    <t>Comisión del acuerdo - Orden 20 y Trans 57</t>
  </si>
  <si>
    <t>2026-04-09</t>
  </si>
  <si>
    <t>Comisión del acuerdo - Orden 28 y Trans 75</t>
  </si>
  <si>
    <t>Cobro Realizado - Orden 28 y Trans 75</t>
  </si>
  <si>
    <t>Cobro Realizado - Orden 31 y Trans 81</t>
  </si>
  <si>
    <t>Nores</t>
  </si>
  <si>
    <t>Comisión del acuerdo - Orden 31 y Trans 81</t>
  </si>
  <si>
    <t>2026-04-10</t>
  </si>
  <si>
    <t>Comisión del acuerdo - Orden 38 y Trans 95</t>
  </si>
  <si>
    <t>Cobro Realizado - Orden 38 y Trans 95</t>
  </si>
  <si>
    <t>Martucci</t>
  </si>
  <si>
    <t>2026-04-14</t>
  </si>
  <si>
    <t>Cobro Realizado - Orden 39 y Trans 97</t>
  </si>
  <si>
    <t>Normob</t>
  </si>
  <si>
    <t>2026-04-13</t>
  </si>
  <si>
    <t>Comisión del acuerdo - Orden 41 y Trans 101</t>
  </si>
  <si>
    <t>Compromiso de Pago - Orden 41 y Trans 102</t>
  </si>
  <si>
    <t>Mateo</t>
  </si>
  <si>
    <t>Cobro Realizado - Orden 42 y Trans 105</t>
  </si>
  <si>
    <t>Pablo Franck</t>
  </si>
  <si>
    <t>Comisión del acuerdo - Orden 42 y Trans 105</t>
  </si>
  <si>
    <t>Comisión del acuerdo - Orden 43 y Trans 107</t>
  </si>
  <si>
    <t>Cobro Realizado - Orden 43 y Trans 107</t>
  </si>
  <si>
    <t>Marta Erczmann</t>
  </si>
  <si>
    <t>Cobro Realizado - Orden 49 y Trans 119</t>
  </si>
  <si>
    <t>Juan Antico</t>
  </si>
  <si>
    <t>Comisión del acuerdo - Orden 49 y Trans 119</t>
  </si>
  <si>
    <t>2026-04-15</t>
  </si>
  <si>
    <t>Cobro Realizado - Orden 55 y Trans 133</t>
  </si>
  <si>
    <t>Colina</t>
  </si>
  <si>
    <t>Cobro Realizado - Orden 56 y Trans 135</t>
  </si>
  <si>
    <t>Riesnik</t>
  </si>
  <si>
    <t>Manual</t>
  </si>
  <si>
    <t>CC manual sin orden · Madero → Rou [Banco]</t>
  </si>
  <si>
    <t>Normob [Banco]</t>
  </si>
  <si>
    <t>Serfin peru [Banco]</t>
  </si>
  <si>
    <t>CC manual sin orden · Madero → Rou</t>
  </si>
  <si>
    <t>2026-04-07</t>
  </si>
  <si>
    <t>CC manual sin orden · Rou → Madero [Banco]</t>
  </si>
  <si>
    <t>2026-04-03</t>
  </si>
  <si>
    <t>Saldo inicial (volcado Excel) — Rou [Banco]</t>
  </si>
  <si>
    <t>NO BORRAR</t>
  </si>
  <si>
    <t>Cliente</t>
  </si>
  <si>
    <t>Tipo</t>
  </si>
  <si>
    <t>Forma</t>
  </si>
  <si>
    <t>Moneda</t>
  </si>
  <si>
    <t>Monto</t>
  </si>
  <si>
    <t>Valor</t>
  </si>
  <si>
    <t>Detalle</t>
  </si>
  <si>
    <t>Monto (núm.)</t>
  </si>
  <si>
    <t>Julian</t>
  </si>
  <si>
    <t>Ingreso</t>
  </si>
  <si>
    <t>3,100.00</t>
  </si>
  <si>
    <t>Madrid San ca</t>
  </si>
  <si>
    <t>3,816.25</t>
  </si>
  <si>
    <t>pesos Doc</t>
  </si>
  <si>
    <t>Egreso</t>
  </si>
  <si>
    <t>2,422.82</t>
  </si>
  <si>
    <t>Doc transfe</t>
  </si>
  <si>
    <t>Doc</t>
  </si>
  <si>
    <t>3,840.00</t>
  </si>
  <si>
    <t>entra transfe</t>
  </si>
  <si>
    <t>salen pesos mep</t>
  </si>
  <si>
    <t>3,915.00</t>
  </si>
  <si>
    <t>19,700.00</t>
  </si>
  <si>
    <t>Cora</t>
  </si>
  <si>
    <t>150.00</t>
  </si>
  <si>
    <t>Comisión Cora</t>
  </si>
  <si>
    <t>30,050.00</t>
  </si>
  <si>
    <t>Abudiab</t>
  </si>
  <si>
    <t>30,450.00</t>
  </si>
  <si>
    <t>Pago 30000</t>
  </si>
  <si>
    <t>Levi</t>
  </si>
  <si>
    <t>2,415.00</t>
  </si>
  <si>
    <t>pague pasajes</t>
  </si>
  <si>
    <t>1,500.00</t>
  </si>
  <si>
    <t xml:space="preserve"> Medaglia</t>
  </si>
  <si>
    <t>7,150.00</t>
  </si>
  <si>
    <t>deja  Arrasca</t>
  </si>
  <si>
    <t>transfe</t>
  </si>
  <si>
    <t>salida</t>
  </si>
  <si>
    <t>4,925.00</t>
  </si>
  <si>
    <t>ingreso Ferrara en MRTB</t>
  </si>
  <si>
    <t>15,069.20</t>
  </si>
  <si>
    <t>ingreso Riesnik</t>
  </si>
  <si>
    <t>15,000.00</t>
  </si>
  <si>
    <t>retirado</t>
  </si>
  <si>
    <t>Carrera</t>
  </si>
  <si>
    <t>3,470.00</t>
  </si>
  <si>
    <t>pago escribania pesos 4874985</t>
  </si>
  <si>
    <t>750.00</t>
  </si>
  <si>
    <t>comi mesa py</t>
  </si>
  <si>
    <t>20,050.00</t>
  </si>
  <si>
    <t>pago Crosti</t>
  </si>
  <si>
    <t>Crosti</t>
  </si>
  <si>
    <t>3,445.20</t>
  </si>
  <si>
    <t>pago Tati pesos</t>
  </si>
  <si>
    <t>Vicente</t>
  </si>
  <si>
    <t>1,000.00</t>
  </si>
  <si>
    <t>deuda vieja</t>
  </si>
  <si>
    <t>Gonzalito</t>
  </si>
  <si>
    <t>4,500.00</t>
  </si>
  <si>
    <t>Ari Eisen</t>
  </si>
  <si>
    <t>2,000.00</t>
  </si>
  <si>
    <t>Blanch</t>
  </si>
  <si>
    <t>884.00</t>
  </si>
  <si>
    <t>Blanco</t>
  </si>
  <si>
    <t>6,895.00</t>
  </si>
  <si>
    <t>Pachi</t>
  </si>
  <si>
    <t>50,000.00</t>
  </si>
  <si>
    <t>Mati Florida</t>
  </si>
  <si>
    <t>40,000.00</t>
  </si>
  <si>
    <t>Alvarito</t>
  </si>
  <si>
    <t>79,533.00</t>
  </si>
  <si>
    <t>cuenta corriente</t>
  </si>
  <si>
    <t>Lautaro</t>
  </si>
  <si>
    <t>220,000.00</t>
  </si>
  <si>
    <t>Achi</t>
  </si>
  <si>
    <t>12,033.00</t>
  </si>
  <si>
    <t>10,000.00</t>
  </si>
  <si>
    <t>le doy en Madero</t>
  </si>
  <si>
    <t>Cagnoni</t>
  </si>
  <si>
    <t>600.00</t>
  </si>
  <si>
    <t>por pesos cash</t>
  </si>
  <si>
    <t>30,000.00</t>
  </si>
  <si>
    <t>retire en Olivos</t>
  </si>
  <si>
    <t>pago en Cramer</t>
  </si>
  <si>
    <t>pago en Teglia</t>
  </si>
  <si>
    <t>1,107.00</t>
  </si>
  <si>
    <t>pesos mep Euge Agnello</t>
  </si>
  <si>
    <t>2,226.40</t>
  </si>
  <si>
    <t>ajuste cuenta</t>
  </si>
  <si>
    <t>Sergio</t>
  </si>
  <si>
    <t>4,000.00</t>
  </si>
  <si>
    <t>11,000.00</t>
  </si>
  <si>
    <t>compra bb con Blanco</t>
  </si>
  <si>
    <t>155,128.00</t>
  </si>
  <si>
    <t>deja en ASU 156,300</t>
  </si>
  <si>
    <t>Fede ASU</t>
  </si>
  <si>
    <t>153,565.00</t>
  </si>
  <si>
    <t>por los 156300</t>
  </si>
  <si>
    <t>15,050.00</t>
  </si>
  <si>
    <t>pago Fede Asu</t>
  </si>
  <si>
    <t>pago USA 15 k</t>
  </si>
  <si>
    <t>14,795.00</t>
  </si>
  <si>
    <t>tt a USA de 15 k</t>
  </si>
  <si>
    <t>14,800.00</t>
  </si>
  <si>
    <t>retiro Gabriel</t>
  </si>
  <si>
    <t>me dejo en casa</t>
  </si>
  <si>
    <t>Adriana</t>
  </si>
  <si>
    <t>1,900.00</t>
  </si>
  <si>
    <t xml:space="preserve">pago mep </t>
  </si>
  <si>
    <t>lleva German sabanas</t>
  </si>
  <si>
    <t>Ranieli</t>
  </si>
  <si>
    <t>2,300.00</t>
  </si>
  <si>
    <t>L gante</t>
  </si>
  <si>
    <t>1,873.00</t>
  </si>
  <si>
    <t>mep Adriana</t>
  </si>
  <si>
    <t>6,850.00</t>
  </si>
  <si>
    <t>ajuste mep / cuenta</t>
  </si>
  <si>
    <t>retira Ger para Blanch</t>
  </si>
  <si>
    <t>52,000.00</t>
  </si>
  <si>
    <t>para fondear petro</t>
  </si>
  <si>
    <t>343.00</t>
  </si>
  <si>
    <t>ajuste saldo</t>
  </si>
  <si>
    <t>40,600.00</t>
  </si>
  <si>
    <t>paga Guzman 40 k</t>
  </si>
  <si>
    <t>40,050.00</t>
  </si>
  <si>
    <t>Abudiab 40</t>
  </si>
  <si>
    <t>Gioja</t>
  </si>
  <si>
    <t>15,300.00</t>
  </si>
  <si>
    <t>para pagar 15k</t>
  </si>
  <si>
    <t>9,530.00</t>
  </si>
  <si>
    <t>compensa con Gerardo</t>
  </si>
  <si>
    <t>Gerardo</t>
  </si>
  <si>
    <t>cc de recauda</t>
  </si>
  <si>
    <t>1,400.00</t>
  </si>
  <si>
    <t>tarjeta Hernan</t>
  </si>
  <si>
    <t>cipolla</t>
  </si>
  <si>
    <t>euros que paga Gioja por mep</t>
  </si>
  <si>
    <t>3,991.00</t>
  </si>
  <si>
    <t xml:space="preserve">me dio en Happening </t>
  </si>
  <si>
    <t>fondeo titanium / pago Mateo</t>
  </si>
  <si>
    <t>Alfie</t>
  </si>
  <si>
    <t>5,100.00</t>
  </si>
  <si>
    <t>pago wake Alfie mes</t>
  </si>
  <si>
    <t>4,700.00</t>
  </si>
  <si>
    <t>pago euro Antonello</t>
  </si>
  <si>
    <t>4,620.00</t>
  </si>
  <si>
    <t>48,350.00</t>
  </si>
  <si>
    <t>operación cheque Wake / inv Sergio</t>
  </si>
  <si>
    <t>pago Gioja</t>
  </si>
  <si>
    <t>pago Nacho rou</t>
  </si>
  <si>
    <t>invertidos en Wake 47,981</t>
  </si>
  <si>
    <t>euros que debia</t>
  </si>
  <si>
    <t>Kururu</t>
  </si>
  <si>
    <t>5,500.00</t>
  </si>
  <si>
    <t>le pago Wakefield serv en py</t>
  </si>
  <si>
    <t>5,000.00</t>
  </si>
  <si>
    <t>vende 5 k por pesos</t>
  </si>
  <si>
    <t>20,000.00</t>
  </si>
  <si>
    <t>deuda Sergio</t>
  </si>
  <si>
    <t>en lo de Ruben</t>
  </si>
  <si>
    <t>138,570.00</t>
  </si>
  <si>
    <t>pagado</t>
  </si>
  <si>
    <t>47,400.00</t>
  </si>
  <si>
    <t>cheque inv Sergio</t>
  </si>
  <si>
    <t>inv Titanium</t>
  </si>
  <si>
    <t>7,315.00</t>
  </si>
  <si>
    <t>pago wake por pesos</t>
  </si>
  <si>
    <t>12,815.00</t>
  </si>
  <si>
    <t>retira en Asuncion</t>
  </si>
  <si>
    <t>12,686.00</t>
  </si>
  <si>
    <t>pasado por mesa Rifles</t>
  </si>
  <si>
    <t>compensa cuenta con Lauta</t>
  </si>
  <si>
    <t>2,041.00</t>
  </si>
  <si>
    <t>por reales Max</t>
  </si>
  <si>
    <t>Maxi Brasil</t>
  </si>
  <si>
    <t>2,100.00</t>
  </si>
  <si>
    <t>pago Juli reales</t>
  </si>
  <si>
    <t>1,200.00</t>
  </si>
  <si>
    <t>1000 euros</t>
  </si>
  <si>
    <t>le deje en la ofi</t>
  </si>
  <si>
    <t>72,050.00</t>
  </si>
  <si>
    <t>pago Casasco</t>
  </si>
  <si>
    <t>Casasco</t>
  </si>
  <si>
    <t>73,800.00</t>
  </si>
  <si>
    <t>pago 72</t>
  </si>
  <si>
    <t>70,000.00</t>
  </si>
  <si>
    <t>me dejo en Madero</t>
  </si>
  <si>
    <t>Diaz</t>
  </si>
  <si>
    <t>22,350.00</t>
  </si>
  <si>
    <t>dejo en pde 21911</t>
  </si>
  <si>
    <t>rou</t>
  </si>
  <si>
    <t>22,130.00</t>
  </si>
  <si>
    <t>pago pde</t>
  </si>
  <si>
    <t>2,899.00</t>
  </si>
  <si>
    <t>pago mep de Maxi y Gioja por 4 M</t>
  </si>
  <si>
    <t>4,809.00</t>
  </si>
  <si>
    <t>euro Madrid</t>
  </si>
  <si>
    <t>5 k us y 5 en pesos Sergio</t>
  </si>
  <si>
    <t>trajo Willy</t>
  </si>
  <si>
    <t>65,700.00</t>
  </si>
  <si>
    <t>pague saldo</t>
  </si>
  <si>
    <t>16,877.00</t>
  </si>
  <si>
    <t>mep Seoane</t>
  </si>
  <si>
    <t>Seoane</t>
  </si>
  <si>
    <t>17,000.00</t>
  </si>
  <si>
    <t>mep Mache</t>
  </si>
  <si>
    <t>1,443.00</t>
  </si>
  <si>
    <t>Ferrara</t>
  </si>
  <si>
    <t>1,300.00</t>
  </si>
  <si>
    <t>cable para pesos</t>
  </si>
  <si>
    <t>por pesos contra Euge</t>
  </si>
  <si>
    <t>pago Madrid Poly</t>
  </si>
  <si>
    <t>1,888.00</t>
  </si>
  <si>
    <t>700.00</t>
  </si>
  <si>
    <t>me pidio que le de mas 700</t>
  </si>
  <si>
    <t>le paga mep a Levy</t>
  </si>
  <si>
    <t>6,848.00</t>
  </si>
  <si>
    <t>pesos en cuenta</t>
  </si>
  <si>
    <t>Fer Simon</t>
  </si>
  <si>
    <t>300.00</t>
  </si>
  <si>
    <t>dejo de menos Claudio</t>
  </si>
  <si>
    <t>24,500.00</t>
  </si>
  <si>
    <t>dejo en Cramer</t>
  </si>
  <si>
    <t>332.00</t>
  </si>
  <si>
    <t>caballos</t>
  </si>
  <si>
    <t>Tasco</t>
  </si>
  <si>
    <t>63,638.00</t>
  </si>
  <si>
    <t>contra Guido</t>
  </si>
  <si>
    <t>Guido</t>
  </si>
  <si>
    <t>62,365.00</t>
  </si>
  <si>
    <t>Racing de Montev</t>
  </si>
  <si>
    <t>18,646.00</t>
  </si>
  <si>
    <t>saldo viejo Posadas</t>
  </si>
  <si>
    <t>2,540.00</t>
  </si>
  <si>
    <t>por pesos</t>
  </si>
  <si>
    <t>64,000.00</t>
  </si>
  <si>
    <t>le da Wana en la ofi</t>
  </si>
  <si>
    <t>4,070.00</t>
  </si>
  <si>
    <t>tt de Arrasca</t>
  </si>
  <si>
    <t>Arrascaeta</t>
  </si>
  <si>
    <t>3,990.00</t>
  </si>
  <si>
    <t>retira Guido manana</t>
  </si>
  <si>
    <t>pago mep Seoane</t>
  </si>
  <si>
    <t>4,356.00</t>
  </si>
  <si>
    <t>del Doc</t>
  </si>
  <si>
    <t>4,250.00</t>
  </si>
  <si>
    <t>pago Doc</t>
  </si>
  <si>
    <t>Marta Di Bello</t>
  </si>
  <si>
    <t>1,940.00</t>
  </si>
  <si>
    <t>pago pesos mep</t>
  </si>
  <si>
    <t>pago Marta</t>
  </si>
  <si>
    <t>pagado por Euge</t>
  </si>
  <si>
    <t>Pipi</t>
  </si>
  <si>
    <t>2,500.00</t>
  </si>
  <si>
    <t>por 4 palos pesos</t>
  </si>
  <si>
    <t>Sabrina Sir</t>
  </si>
  <si>
    <t>941.00</t>
  </si>
  <si>
    <t>pago paypal a Julian</t>
  </si>
  <si>
    <t>pago paypal Sabri</t>
  </si>
  <si>
    <t>le llevo a la casa</t>
  </si>
  <si>
    <t>5,040.00</t>
  </si>
  <si>
    <t>retiro Willi en la ofi</t>
  </si>
  <si>
    <t>por pesos contra Mati</t>
  </si>
  <si>
    <t>Caja Nico</t>
  </si>
  <si>
    <t>tengo que retirar de la caja</t>
  </si>
  <si>
    <t>retira menos Seba por los 10 k de Sergio</t>
  </si>
  <si>
    <t>5,110.00</t>
  </si>
  <si>
    <t>cable de Serfin</t>
  </si>
  <si>
    <t>5,045.00</t>
  </si>
  <si>
    <t>cable de 5135</t>
  </si>
  <si>
    <t>4,200.00</t>
  </si>
  <si>
    <t>alquiler</t>
  </si>
  <si>
    <t>9,300.00</t>
  </si>
  <si>
    <t>por pago 9100</t>
  </si>
  <si>
    <t>9,150.00</t>
  </si>
  <si>
    <t>por pago 9100 a Alfio</t>
  </si>
  <si>
    <t>me dio en su casa</t>
  </si>
  <si>
    <t>4,468.00</t>
  </si>
  <si>
    <t>cable Sabri</t>
  </si>
  <si>
    <t>4,400.00</t>
  </si>
  <si>
    <t>por 4490</t>
  </si>
  <si>
    <t>4,950.00</t>
  </si>
  <si>
    <t>pago Peru 4800</t>
  </si>
  <si>
    <t>5,150.00</t>
  </si>
  <si>
    <t>pago en Monte</t>
  </si>
  <si>
    <t>4,850.00</t>
  </si>
  <si>
    <t>por Peru 4800</t>
  </si>
  <si>
    <t>5,025.00</t>
  </si>
  <si>
    <t>por depo en Monte</t>
  </si>
  <si>
    <t>3,545.00</t>
  </si>
  <si>
    <t>por ted Brasil</t>
  </si>
  <si>
    <t>3,445.00</t>
  </si>
  <si>
    <t>paga Martegani</t>
  </si>
  <si>
    <t>Barreiro</t>
  </si>
  <si>
    <t>490.00</t>
  </si>
  <si>
    <t>Gonza Urrus</t>
  </si>
  <si>
    <t>9,337.00</t>
  </si>
  <si>
    <t>10,033.00</t>
  </si>
  <si>
    <t>compense Barreiro y Urrus</t>
  </si>
  <si>
    <t>Martegani</t>
  </si>
  <si>
    <t>venta bb</t>
  </si>
  <si>
    <t>5,341.00</t>
  </si>
  <si>
    <t>pagado a Martin</t>
  </si>
  <si>
    <t>GS</t>
  </si>
  <si>
    <t>12,610.00</t>
  </si>
  <si>
    <t>trae Willy</t>
  </si>
  <si>
    <t>2,510.00</t>
  </si>
  <si>
    <t>Wana</t>
  </si>
  <si>
    <t>2,355.00</t>
  </si>
  <si>
    <t>pago Serfin</t>
  </si>
  <si>
    <t>le lleva Joaco</t>
  </si>
  <si>
    <t>paso por casa</t>
  </si>
  <si>
    <t>3,297.00</t>
  </si>
  <si>
    <t>paga pesos Cagnoni</t>
  </si>
  <si>
    <t>3,400.00</t>
  </si>
  <si>
    <t>paga pesos Juli</t>
  </si>
  <si>
    <t>Mario Gomez</t>
  </si>
  <si>
    <t>prestamos pesos contra Juli</t>
  </si>
  <si>
    <t>4,878.00</t>
  </si>
  <si>
    <t>paga pesos de Marito</t>
  </si>
  <si>
    <t>Caja Madero</t>
  </si>
  <si>
    <t>y 6 palos pesos</t>
  </si>
  <si>
    <t>25,375.00</t>
  </si>
  <si>
    <t>pago a Baires de 25 k</t>
  </si>
  <si>
    <t>25,050.00</t>
  </si>
  <si>
    <t>pago Abudiab</t>
  </si>
  <si>
    <t>500.00</t>
  </si>
  <si>
    <t>Everfit</t>
  </si>
  <si>
    <t>4,279.00</t>
  </si>
  <si>
    <t>ingreso Franck</t>
  </si>
  <si>
    <t>contra rou</t>
  </si>
  <si>
    <t>Vero Dopazo</t>
  </si>
  <si>
    <t>9,990.00</t>
  </si>
  <si>
    <t>reales contra Mati</t>
  </si>
  <si>
    <t>10,671.00</t>
  </si>
  <si>
    <t>por reales Vero</t>
  </si>
  <si>
    <t>por pesos mep</t>
  </si>
  <si>
    <t>9,781.00</t>
  </si>
  <si>
    <t>por pesos Vero</t>
  </si>
  <si>
    <t>por pesos depo</t>
  </si>
  <si>
    <t>me dio en reunion con Maxi</t>
  </si>
  <si>
    <t>429.00</t>
  </si>
  <si>
    <t>pesos por 600 k Tandil</t>
  </si>
  <si>
    <t>3,484.00</t>
  </si>
  <si>
    <t>pago Franck</t>
  </si>
  <si>
    <t>2,610.00</t>
  </si>
  <si>
    <t>por pago 2500 en Py</t>
  </si>
  <si>
    <t>4,409.00</t>
  </si>
  <si>
    <t>4,691.00</t>
  </si>
  <si>
    <t>reales Vero</t>
  </si>
  <si>
    <t>15,380.00</t>
  </si>
  <si>
    <t>me dejo en la casa mas 100 k pesos</t>
  </si>
  <si>
    <t>Enzo Prono</t>
  </si>
  <si>
    <t>depo Joaco en banco viernes</t>
  </si>
  <si>
    <t>2,560.00</t>
  </si>
  <si>
    <t>contra Juli por pago en py</t>
  </si>
  <si>
    <t>4,353.00</t>
  </si>
  <si>
    <t>por  6,050,000 pesos</t>
  </si>
  <si>
    <t>Aranguez</t>
  </si>
  <si>
    <t>26,908.00</t>
  </si>
  <si>
    <t>por 27598</t>
  </si>
  <si>
    <t>27,460.00</t>
  </si>
  <si>
    <t>canje Aranguez</t>
  </si>
  <si>
    <t>14,697.00</t>
  </si>
  <si>
    <t>14,402.00</t>
  </si>
  <si>
    <t>por 14771</t>
  </si>
  <si>
    <t>4,216.00</t>
  </si>
  <si>
    <t>pago mep Sergio</t>
  </si>
  <si>
    <t>6,089.00</t>
  </si>
  <si>
    <t>por reales Mati</t>
  </si>
  <si>
    <t>6,479.00</t>
  </si>
  <si>
    <t>por reales vero</t>
  </si>
  <si>
    <t>10,500.00</t>
  </si>
  <si>
    <t>1,082.00</t>
  </si>
  <si>
    <t>por pesos Ger</t>
  </si>
  <si>
    <t>paga Guzman a Chile</t>
  </si>
  <si>
    <t>pago Entregar</t>
  </si>
  <si>
    <t>20,660.00</t>
  </si>
  <si>
    <t>depo en Monte a Guzman</t>
  </si>
  <si>
    <t>queda en cero</t>
  </si>
  <si>
    <t>por depo de Gonza Urrus</t>
  </si>
  <si>
    <t>41,310.00</t>
  </si>
  <si>
    <t>retiro Agustin en la ofi</t>
  </si>
  <si>
    <t>dejo Mancu en Madero</t>
  </si>
  <si>
    <t>10,094.00</t>
  </si>
  <si>
    <t>ingreso Adot</t>
  </si>
  <si>
    <t>Adot</t>
  </si>
  <si>
    <t>canje</t>
  </si>
  <si>
    <t>le dejo en la cas</t>
  </si>
  <si>
    <t>2,800.00</t>
  </si>
  <si>
    <t>pago 2700</t>
  </si>
  <si>
    <t>2,127.00</t>
  </si>
  <si>
    <t>por pesos 3 M dejo en casa</t>
  </si>
  <si>
    <t>2,750.00</t>
  </si>
  <si>
    <t>pago a Gera</t>
  </si>
  <si>
    <t>43,666.00</t>
  </si>
  <si>
    <t>ingreso Serfin</t>
  </si>
  <si>
    <t>39,750.00</t>
  </si>
  <si>
    <t>ingreso Tato</t>
  </si>
  <si>
    <t>Tato Gomez</t>
  </si>
  <si>
    <t>39,151.00</t>
  </si>
  <si>
    <t>tt de Loren</t>
  </si>
  <si>
    <t>43,227.00</t>
  </si>
  <si>
    <t>tt de China</t>
  </si>
  <si>
    <t>19,845.00</t>
  </si>
  <si>
    <t>cable Mayo</t>
  </si>
  <si>
    <t>29,795.00</t>
  </si>
  <si>
    <t>Mayo</t>
  </si>
  <si>
    <t>49,250.00</t>
  </si>
  <si>
    <t>para rebote</t>
  </si>
  <si>
    <t>paga Guzman a Santucci</t>
  </si>
  <si>
    <t>49,325.00</t>
  </si>
  <si>
    <t>rebote Mayo</t>
  </si>
  <si>
    <t>1,357.00</t>
  </si>
  <si>
    <t>me dio en San Andres</t>
  </si>
  <si>
    <t>10,791.00</t>
  </si>
  <si>
    <t>por 15 M mep</t>
  </si>
  <si>
    <t>de caja Mateo</t>
  </si>
  <si>
    <t>742.00</t>
  </si>
  <si>
    <t>pago expensas</t>
  </si>
  <si>
    <t>1,074.00</t>
  </si>
  <si>
    <t>le acredita a Euge</t>
  </si>
  <si>
    <t>200.00</t>
  </si>
  <si>
    <t>depo cash</t>
  </si>
  <si>
    <t>retira Tato en la ofi</t>
  </si>
  <si>
    <t>25,800.00</t>
  </si>
  <si>
    <t>me dio en Olivos</t>
  </si>
  <si>
    <t>9,895.00</t>
  </si>
  <si>
    <t>tt serfin</t>
  </si>
  <si>
    <t>9,845.00</t>
  </si>
  <si>
    <t>a la cuenta</t>
  </si>
  <si>
    <t>por mep 14,2</t>
  </si>
  <si>
    <t>10,143.00</t>
  </si>
  <si>
    <t>53,072.00</t>
  </si>
  <si>
    <t>retira Willy en Madero</t>
  </si>
  <si>
    <t>deja en lo de Juli</t>
  </si>
  <si>
    <t>25,998.00</t>
  </si>
  <si>
    <t>le deja Claudio por cheque crosti</t>
  </si>
  <si>
    <t>25,704.00</t>
  </si>
  <si>
    <t>por cheque pago Chile mas 654 comi</t>
  </si>
  <si>
    <t>Rext</t>
  </si>
  <si>
    <t>122,400.00</t>
  </si>
  <si>
    <t>para pagar 120 k</t>
  </si>
  <si>
    <t>dejo para pagar</t>
  </si>
  <si>
    <t>120,075.00</t>
  </si>
  <si>
    <t>Rou pago regu 120 k a rext</t>
  </si>
  <si>
    <t>13,870.00</t>
  </si>
  <si>
    <t>por pago 13820 Mati</t>
  </si>
  <si>
    <t>14,062.00</t>
  </si>
  <si>
    <t>3,600.00</t>
  </si>
  <si>
    <t>me dejo en Teglia</t>
  </si>
  <si>
    <t>44,100.00</t>
  </si>
  <si>
    <t>me dejo la mama</t>
  </si>
  <si>
    <t>20,541.00</t>
  </si>
  <si>
    <t>6,547.00</t>
  </si>
  <si>
    <t>9 palos en la obra</t>
  </si>
  <si>
    <t>Lamela</t>
  </si>
  <si>
    <t>39,346.00</t>
  </si>
  <si>
    <t>para Miami</t>
  </si>
  <si>
    <t>654.00</t>
  </si>
  <si>
    <t>comi pago Chile</t>
  </si>
  <si>
    <t>Aced</t>
  </si>
  <si>
    <t>497,328.00</t>
  </si>
  <si>
    <t>pago cable</t>
  </si>
  <si>
    <t>493,250.00</t>
  </si>
  <si>
    <t>Varela + 2000 de usdt</t>
  </si>
  <si>
    <t>Varela</t>
  </si>
  <si>
    <t>1,250.00</t>
  </si>
  <si>
    <t>comi Victor</t>
  </si>
  <si>
    <t>Buitre</t>
  </si>
  <si>
    <t>10,200.00</t>
  </si>
  <si>
    <t>9,500.00</t>
  </si>
  <si>
    <t>dejo el buitre</t>
  </si>
  <si>
    <t>19,493.00</t>
  </si>
  <si>
    <t>ref Pagano Millenia</t>
  </si>
  <si>
    <t>pago 10 Guzman</t>
  </si>
  <si>
    <t>10,050.00</t>
  </si>
  <si>
    <t>pago Buitre</t>
  </si>
  <si>
    <t>50.00</t>
  </si>
  <si>
    <t>2,885.00</t>
  </si>
  <si>
    <t>ingreso Aranguez</t>
  </si>
  <si>
    <t>3,013.00</t>
  </si>
  <si>
    <t>no se si es exacto</t>
  </si>
  <si>
    <t>2,900.00</t>
  </si>
  <si>
    <t>trajo Ari a casa</t>
  </si>
  <si>
    <t>5,800.00</t>
  </si>
  <si>
    <t>por 5950 a ROU</t>
  </si>
  <si>
    <t>19,350.00</t>
  </si>
  <si>
    <t>por pago M Martin</t>
  </si>
  <si>
    <t>1,100.00</t>
  </si>
  <si>
    <t>por dos depo</t>
  </si>
  <si>
    <t>por depositos en ROU retira martes</t>
  </si>
  <si>
    <t>por depo de 5000</t>
  </si>
  <si>
    <t>13,922.00</t>
  </si>
  <si>
    <t>por cheque Ind Riv</t>
  </si>
  <si>
    <t>3,922.00</t>
  </si>
  <si>
    <t>por pago en Py de 3804</t>
  </si>
  <si>
    <t>3,854.00</t>
  </si>
  <si>
    <t>por Enzo py 3804</t>
  </si>
  <si>
    <t>14,214.00</t>
  </si>
  <si>
    <t>cheque ind riv</t>
  </si>
  <si>
    <t>14,870.00</t>
  </si>
  <si>
    <t>por tt de Fernando Rodriguez</t>
  </si>
  <si>
    <t>1,903.00</t>
  </si>
  <si>
    <t>dejo Galdos</t>
  </si>
  <si>
    <t>14,215.00</t>
  </si>
  <si>
    <t>trajo Claudio</t>
  </si>
  <si>
    <t>pago Gerar</t>
  </si>
  <si>
    <t>7,845.00</t>
  </si>
  <si>
    <t>por transfe de 7945</t>
  </si>
  <si>
    <t>7,905.00</t>
  </si>
  <si>
    <t>por tt Serfin</t>
  </si>
  <si>
    <t>7,880.00</t>
  </si>
  <si>
    <t>mando tt a Rou</t>
  </si>
  <si>
    <t>7,960.00</t>
  </si>
  <si>
    <t>por tt a Rou</t>
  </si>
  <si>
    <t>5,920.00</t>
  </si>
  <si>
    <t>tt Ferrara</t>
  </si>
  <si>
    <t>3,788.00</t>
  </si>
  <si>
    <t>tt a USA</t>
  </si>
  <si>
    <t>3,846.00</t>
  </si>
  <si>
    <t>tt a Guido</t>
  </si>
  <si>
    <t>996.00</t>
  </si>
  <si>
    <t>pago Charlie</t>
  </si>
  <si>
    <t>Charlie R</t>
  </si>
  <si>
    <t>1,050.00</t>
  </si>
  <si>
    <t>pago Wana</t>
  </si>
  <si>
    <t>27,000.00</t>
  </si>
  <si>
    <t>para Raffa</t>
  </si>
  <si>
    <t>Raffaini</t>
  </si>
  <si>
    <t>18,158.00</t>
  </si>
  <si>
    <t>Kecekky</t>
  </si>
  <si>
    <t>17,802.00</t>
  </si>
  <si>
    <t>pago Raffa Kecekky</t>
  </si>
  <si>
    <t>depo Marce</t>
  </si>
  <si>
    <t>8,842.00</t>
  </si>
  <si>
    <t>retira Guido en Madero</t>
  </si>
  <si>
    <t xml:space="preserve">retiro Willy </t>
  </si>
  <si>
    <t>contra pesos cheque Euge</t>
  </si>
  <si>
    <t>15,700.00</t>
  </si>
  <si>
    <t>deje en la caja</t>
  </si>
  <si>
    <t>lleva Joaco</t>
  </si>
  <si>
    <t>13,227.00</t>
  </si>
  <si>
    <t>pago 13 k a USA</t>
  </si>
  <si>
    <t>13,050.00</t>
  </si>
  <si>
    <t>pago Mati 13 k</t>
  </si>
  <si>
    <t>12,115.00</t>
  </si>
  <si>
    <t>tt a Rou</t>
  </si>
  <si>
    <t>12,238.00</t>
  </si>
  <si>
    <t>de Varela</t>
  </si>
  <si>
    <t>100.00</t>
  </si>
  <si>
    <t>ajuste mes</t>
  </si>
  <si>
    <t>compensa con Euge</t>
  </si>
  <si>
    <t>198,750.00</t>
  </si>
  <si>
    <t>Alexis Zabala Whindam 197500 paga</t>
  </si>
  <si>
    <t>1,700.00</t>
  </si>
  <si>
    <t>depo o tt</t>
  </si>
  <si>
    <t>800.00</t>
  </si>
  <si>
    <t>3,500.00</t>
  </si>
  <si>
    <t>2,930.00</t>
  </si>
  <si>
    <t>tt Doc</t>
  </si>
  <si>
    <t>2,845.00</t>
  </si>
  <si>
    <t>4,763.00</t>
  </si>
  <si>
    <t>real Serfin</t>
  </si>
  <si>
    <t>4,630.00</t>
  </si>
  <si>
    <t>real Mati</t>
  </si>
  <si>
    <t>por depo mas tt en $</t>
  </si>
  <si>
    <t>17,980.00</t>
  </si>
  <si>
    <t>me dejo en la casa</t>
  </si>
  <si>
    <t>13,115.00</t>
  </si>
  <si>
    <t>ref Ignacio Trussi</t>
  </si>
  <si>
    <t>25,250.00</t>
  </si>
  <si>
    <t>Gromellier</t>
  </si>
  <si>
    <t>783.00</t>
  </si>
  <si>
    <t>pago Jesus</t>
  </si>
  <si>
    <t>llevo german</t>
  </si>
  <si>
    <t>15,320.00</t>
  </si>
  <si>
    <t>tt a Nacho</t>
  </si>
  <si>
    <t>19,950.00</t>
  </si>
  <si>
    <t>467.00</t>
  </si>
  <si>
    <t>tt 567</t>
  </si>
  <si>
    <t>564.00</t>
  </si>
  <si>
    <t>tt de Serfin</t>
  </si>
  <si>
    <t>4,169.00</t>
  </si>
  <si>
    <t>tt de Anabella</t>
  </si>
  <si>
    <t>15,368.00</t>
  </si>
  <si>
    <t>tt Serfin</t>
  </si>
  <si>
    <t>12,906.00</t>
  </si>
  <si>
    <t>por pesos Trussi</t>
  </si>
  <si>
    <t>4,085.00</t>
  </si>
  <si>
    <t>6,060.00</t>
  </si>
  <si>
    <t>retiro Juan</t>
  </si>
  <si>
    <t>7,200.00</t>
  </si>
  <si>
    <t>dejo en la ofi</t>
  </si>
  <si>
    <t>ver que pasa</t>
  </si>
  <si>
    <t>6,120.00</t>
  </si>
  <si>
    <t>pago Guzman a Peru</t>
  </si>
  <si>
    <t>6,050.00</t>
  </si>
  <si>
    <t>Serfin Peru</t>
  </si>
  <si>
    <t>ok</t>
  </si>
  <si>
    <t>205,000.00</t>
  </si>
  <si>
    <t>para Chocho</t>
  </si>
  <si>
    <t>5,650.00</t>
  </si>
  <si>
    <t>trajo Willi</t>
  </si>
  <si>
    <t>9,835.00</t>
  </si>
  <si>
    <t>doc</t>
  </si>
  <si>
    <t xml:space="preserve">por pesos </t>
  </si>
  <si>
    <t>9,885.00</t>
  </si>
  <si>
    <t>2,200.00</t>
  </si>
  <si>
    <t>le lleveo</t>
  </si>
  <si>
    <t>165.00</t>
  </si>
  <si>
    <t>pagamos de mas</t>
  </si>
  <si>
    <t>3,650.00</t>
  </si>
  <si>
    <t>le llevo al club</t>
  </si>
  <si>
    <t>13,875.00</t>
  </si>
  <si>
    <t>Stegman / Nores</t>
  </si>
  <si>
    <t>13,666.00</t>
  </si>
  <si>
    <t>por cable para pago euro</t>
  </si>
  <si>
    <t>13,538.00</t>
  </si>
  <si>
    <t>por pago euro</t>
  </si>
  <si>
    <t>pago Nores</t>
  </si>
  <si>
    <t>9,945.00</t>
  </si>
  <si>
    <t>falta la comi</t>
  </si>
  <si>
    <t>460.00</t>
  </si>
  <si>
    <t>retiro en la ofi</t>
  </si>
  <si>
    <t>25,860.00</t>
  </si>
  <si>
    <t>25,600.00</t>
  </si>
  <si>
    <t>ya descontada a rou</t>
  </si>
  <si>
    <t>entregar</t>
  </si>
  <si>
    <t>8,932.00</t>
  </si>
  <si>
    <t>Madrid fund</t>
  </si>
  <si>
    <t>Camino</t>
  </si>
  <si>
    <t>haciendo camino</t>
  </si>
  <si>
    <t>57,420.00</t>
  </si>
  <si>
    <t>56,554.00</t>
  </si>
  <si>
    <t>1,030.00</t>
  </si>
  <si>
    <t>Kjenkins py</t>
  </si>
  <si>
    <t>pago ponja</t>
  </si>
  <si>
    <t>15,075.00</t>
  </si>
  <si>
    <t>128.00</t>
  </si>
  <si>
    <t>depo en banco</t>
  </si>
  <si>
    <t>2,908.00</t>
  </si>
  <si>
    <t>por cheque Guzman</t>
  </si>
  <si>
    <t>11,748.00</t>
  </si>
  <si>
    <t>10,778.00</t>
  </si>
  <si>
    <t>le llevo a Martu</t>
  </si>
  <si>
    <t>gonzalito</t>
  </si>
  <si>
    <t>efectivo</t>
  </si>
  <si>
    <t>1,400,000.00</t>
  </si>
  <si>
    <t xml:space="preserve">1,400,000 </t>
  </si>
  <si>
    <t>Transferencia</t>
  </si>
  <si>
    <t xml:space="preserve">-1,400,000 </t>
  </si>
  <si>
    <t>4,378.00</t>
  </si>
  <si>
    <t>4,300.00</t>
  </si>
  <si>
    <t>tt payoneer</t>
  </si>
  <si>
    <t>Erczman</t>
  </si>
  <si>
    <t>5,084.00</t>
  </si>
  <si>
    <t>5,208.00</t>
  </si>
  <si>
    <t>Marcelita</t>
  </si>
  <si>
    <t>pesos para el perro</t>
  </si>
  <si>
    <t>por compra us en pesos</t>
  </si>
  <si>
    <t>German Dimeo</t>
  </si>
  <si>
    <t>60.00</t>
  </si>
  <si>
    <t>le transferi yo</t>
  </si>
  <si>
    <t>7,300.00</t>
  </si>
  <si>
    <t>Cholo</t>
  </si>
  <si>
    <t>13,860,000.00</t>
  </si>
  <si>
    <t xml:space="preserve">13,860,000 </t>
  </si>
  <si>
    <t>Efectivo</t>
  </si>
  <si>
    <t>11,463.00</t>
  </si>
  <si>
    <t>German Conde</t>
  </si>
  <si>
    <t>100,000.00</t>
  </si>
  <si>
    <t>10,000,000.00</t>
  </si>
  <si>
    <t xml:space="preserve">-10,000,000 </t>
  </si>
  <si>
    <t>Hernan P</t>
  </si>
  <si>
    <t>570.00</t>
  </si>
  <si>
    <t xml:space="preserve">efectivo cambio </t>
  </si>
  <si>
    <t>450,000.00</t>
  </si>
  <si>
    <t>14,945.00</t>
  </si>
  <si>
    <t>mar 14 abr 26</t>
  </si>
  <si>
    <t>ROU</t>
  </si>
  <si>
    <t>14,440.00</t>
  </si>
  <si>
    <t xml:space="preserve">20m </t>
  </si>
  <si>
    <t>5,075.00</t>
  </si>
  <si>
    <t>antico</t>
  </si>
  <si>
    <t>536.00</t>
  </si>
  <si>
    <t>200,000.00</t>
  </si>
  <si>
    <t>chocho</t>
  </si>
  <si>
    <t>20,188.00</t>
  </si>
  <si>
    <t>por tt de 20k a chile</t>
  </si>
  <si>
    <t>4,800.00</t>
  </si>
  <si>
    <t>400,000.00</t>
  </si>
  <si>
    <t>36,000,000.00</t>
  </si>
  <si>
    <t xml:space="preserve">36,000,000 </t>
  </si>
  <si>
    <t>21,660.00</t>
  </si>
  <si>
    <t>30m jesus</t>
  </si>
  <si>
    <t>Sistema</t>
  </si>
  <si>
    <t>sistema gastos de oficina</t>
  </si>
  <si>
    <t>152,245.00</t>
  </si>
  <si>
    <t>rou colina (falta sistema)</t>
  </si>
  <si>
    <t>149,200.00</t>
  </si>
  <si>
    <t>retira colina</t>
  </si>
  <si>
    <t>10,145.00</t>
  </si>
  <si>
    <t>rou riesnik</t>
  </si>
  <si>
    <r>
      <t>El movimiento de CC con leyenda </t>
    </r>
    <r>
      <rPr>
        <sz val="13"/>
        <color theme="1"/>
        <rFont val="Arial"/>
        <family val="2"/>
      </rPr>
      <t>«Compensación parcial en cuenta corriente- …»</t>
    </r>
    <r>
      <rPr>
        <sz val="13"/>
        <color theme="1"/>
        <rFont val="Arial"/>
        <family val="2"/>
      </rPr>
      <t> o </t>
    </r>
    <r>
      <rPr>
        <sz val="13"/>
        <color theme="1"/>
        <rFont val="Arial"/>
        <family val="2"/>
      </rPr>
      <t>«Compensación total en cuenta corriente- …»</t>
    </r>
    <r>
      <rPr>
        <sz val="13"/>
        <color theme="1"/>
        <rFont val="Arial"/>
        <family val="2"/>
      </rPr>
      <t> (según el caso) se genera en este contexto:</t>
    </r>
  </si>
  <si>
    <t>Tipo de operación</t>
  </si>
  <si>
    <r>
      <t>USD–USD con intermediario</t>
    </r>
    <r>
      <rPr>
        <sz val="13"/>
        <color theme="1"/>
        <rFont val="Arial"/>
        <family val="2"/>
      </rPr>
      <t> (misma moneda en el acuerdo: recibida y entregada en USD). La app lo identifica por el </t>
    </r>
    <r>
      <rPr>
        <sz val="13"/>
        <color theme="1"/>
        <rFont val="Arial"/>
        <family val="2"/>
      </rPr>
      <t>código</t>
    </r>
    <r>
      <rPr>
        <sz val="13"/>
        <color theme="1"/>
        <rFont val="Arial"/>
        <family val="2"/>
      </rPr>
      <t> </t>
    </r>
    <r>
      <rPr>
        <sz val="10.8"/>
        <color theme="1"/>
        <rFont val="Menlo"/>
        <family val="2"/>
      </rPr>
      <t>USD-USD</t>
    </r>
    <r>
      <rPr>
        <sz val="13"/>
        <color theme="1"/>
        <rFont val="Arial"/>
        <family val="2"/>
      </rPr>
      <t> del tipo de operación y, si no viene el join, por </t>
    </r>
    <r>
      <rPr>
        <sz val="13"/>
        <color theme="1"/>
        <rFont val="Arial"/>
        <family val="2"/>
      </rPr>
      <t>respaldo</t>
    </r>
    <r>
      <rPr>
        <sz val="13"/>
        <color theme="1"/>
        <rFont val="Arial"/>
        <family val="2"/>
      </rPr>
      <t> cuando ambas monedas de la orden son USD </t>
    </r>
    <r>
      <rPr>
        <sz val="13"/>
        <color theme="1"/>
        <rFont val="Arial"/>
        <family val="2"/>
      </rPr>
      <t>y</t>
    </r>
    <r>
      <rPr>
        <sz val="13"/>
        <color theme="1"/>
        <rFont val="Arial"/>
        <family val="2"/>
      </rPr>
      <t> hay intermediario.</t>
    </r>
  </si>
  <si>
    <t>Instrumentación / flags</t>
  </si>
  <si>
    <r>
      <t>Con intermediario</t>
    </r>
    <r>
      <rPr>
        <sz val="13"/>
        <color theme="1"/>
        <rFont val="Arial"/>
        <family val="2"/>
      </rPr>
      <t> en la orden.</t>
    </r>
  </si>
  <si>
    <r>
      <t>Sin multicontraparte manual</t>
    </r>
    <r>
      <rPr>
        <sz val="13"/>
        <color theme="1"/>
        <rFont val="Arial"/>
        <family val="2"/>
      </rPr>
      <t> (no está activo el flujo MC manual para esa orden).</t>
    </r>
  </si>
  <si>
    <r>
      <t>En el </t>
    </r>
    <r>
      <rPr>
        <sz val="13"/>
        <color theme="1"/>
        <rFont val="Arial"/>
        <family val="2"/>
      </rPr>
      <t>modal de la transacción</t>
    </r>
    <r>
      <rPr>
        <sz val="13"/>
        <color theme="1"/>
        <rFont val="Arial"/>
        <family val="2"/>
      </rPr>
      <t>, cuando </t>
    </r>
    <r>
      <rPr>
        <sz val="13"/>
        <color theme="1"/>
        <rFont val="Arial"/>
        <family val="2"/>
      </rPr>
      <t>invertís</t>
    </r>
    <r>
      <rPr>
        <sz val="13"/>
        <color theme="1"/>
        <rFont val="Arial"/>
        <family val="2"/>
      </rPr>
      <t> un </t>
    </r>
    <r>
      <rPr>
        <sz val="13"/>
        <color theme="1"/>
        <rFont val="Arial"/>
        <family val="2"/>
      </rPr>
      <t>ingreso</t>
    </r>
    <r>
      <rPr>
        <sz val="13"/>
        <color theme="1"/>
        <rFont val="Arial"/>
        <family val="2"/>
      </rPr>
      <t> que era </t>
    </r>
    <r>
      <rPr>
        <sz val="13"/>
        <color theme="1"/>
        <rFont val="Arial"/>
        <family val="2"/>
      </rPr>
      <t>Cliente → Pandy</t>
    </r>
    <r>
      <rPr>
        <sz val="13"/>
        <color theme="1"/>
        <rFont val="Arial"/>
        <family val="2"/>
      </rPr>
      <t> y lo pasás a </t>
    </r>
    <r>
      <rPr>
        <sz val="13"/>
        <color theme="1"/>
        <rFont val="Arial"/>
        <family val="2"/>
      </rPr>
      <t>Pandy → Cliente</t>
    </r>
    <r>
      <rPr>
        <sz val="13"/>
        <color theme="1"/>
        <rFont val="Arial"/>
        <family val="2"/>
      </rPr>
      <t> (“flip” del ingreso). Ahí se calcula el tope con el </t>
    </r>
    <r>
      <rPr>
        <sz val="13"/>
        <color theme="1"/>
        <rFont val="Arial"/>
        <family val="2"/>
      </rPr>
      <t>saldo global</t>
    </r>
    <r>
      <rPr>
        <sz val="13"/>
        <color theme="1"/>
        <rFont val="Arial"/>
        <family val="2"/>
      </rPr>
      <t> de CC del cliente en esa moneda, se guarda </t>
    </r>
    <r>
      <rPr>
        <sz val="10.8"/>
        <color theme="1"/>
        <rFont val="Menlo"/>
        <family val="2"/>
      </rPr>
      <t>compensacion_cc_monto_aplicado</t>
    </r>
    <r>
      <rPr>
        <sz val="13"/>
        <color theme="1"/>
        <rFont val="Arial"/>
        <family val="2"/>
      </rPr>
      <t> en la transacción, y en el </t>
    </r>
    <r>
      <rPr>
        <sz val="13"/>
        <color theme="1"/>
        <rFont val="Arial"/>
        <family val="2"/>
      </rPr>
      <t>sync</t>
    </r>
    <r>
      <rPr>
        <sz val="13"/>
        <color theme="1"/>
        <rFont val="Arial"/>
        <family val="2"/>
      </rPr>
      <t> (</t>
    </r>
    <r>
      <rPr>
        <sz val="10.8"/>
        <color theme="1"/>
        <rFont val="Menlo"/>
        <family val="2"/>
      </rPr>
      <t>sincronizarCcYCajaDesdeOrden</t>
    </r>
    <r>
      <rPr>
        <sz val="13"/>
        <color theme="1"/>
        <rFont val="Arial"/>
        <family val="2"/>
      </rPr>
      <t>) se agrega la fila extra con esa leyenda: </t>
    </r>
    <r>
      <rPr>
        <sz val="13"/>
        <color theme="1"/>
        <rFont val="Arial"/>
        <family val="2"/>
      </rPr>
      <t>parcial</t>
    </r>
    <r>
      <rPr>
        <sz val="13"/>
        <color theme="1"/>
        <rFont val="Arial"/>
        <family val="2"/>
      </rPr>
      <t> si el monto compensado es </t>
    </r>
    <r>
      <rPr>
        <sz val="13"/>
        <color theme="1"/>
        <rFont val="Arial"/>
        <family val="2"/>
      </rPr>
      <t>menor</t>
    </r>
    <r>
      <rPr>
        <sz val="13"/>
        <color theme="1"/>
        <rFont val="Arial"/>
        <family val="2"/>
      </rPr>
      <t> que el monto del ingreso, </t>
    </r>
    <r>
      <rPr>
        <sz val="13"/>
        <color theme="1"/>
        <rFont val="Arial"/>
        <family val="2"/>
      </rPr>
      <t>total</t>
    </r>
    <r>
      <rPr>
        <sz val="13"/>
        <color theme="1"/>
        <rFont val="Arial"/>
        <family val="2"/>
      </rPr>
      <t> si </t>
    </r>
    <r>
      <rPr>
        <sz val="13"/>
        <color theme="1"/>
        <rFont val="Arial"/>
        <family val="2"/>
      </rPr>
      <t>iguala</t>
    </r>
    <r>
      <rPr>
        <sz val="13"/>
        <color theme="1"/>
        <rFont val="Arial"/>
        <family val="2"/>
      </rPr>
      <t>.</t>
    </r>
  </si>
  <si>
    <r>
      <t>Si </t>
    </r>
    <r>
      <rPr>
        <sz val="13"/>
        <color theme="1"/>
        <rFont val="Arial"/>
        <family val="2"/>
      </rPr>
      <t>volvés</t>
    </r>
    <r>
      <rPr>
        <sz val="13"/>
        <color theme="1"/>
        <rFont val="Arial"/>
        <family val="2"/>
      </rPr>
      <t> el ingreso a Cliente → Pandy, se </t>
    </r>
    <r>
      <rPr>
        <sz val="13"/>
        <color theme="1"/>
        <rFont val="Arial"/>
        <family val="2"/>
      </rPr>
      <t>limpia</t>
    </r>
    <r>
      <rPr>
        <sz val="13"/>
        <color theme="1"/>
        <rFont val="Arial"/>
        <family val="2"/>
      </rPr>
      <t> </t>
    </r>
    <r>
      <rPr>
        <sz val="10.8"/>
        <color theme="1"/>
        <rFont val="Menlo"/>
        <family val="2"/>
      </rPr>
      <t>compensacion_cc_monto_aplicado</t>
    </r>
    <r>
      <rPr>
        <sz val="13"/>
        <color theme="1"/>
        <rFont val="Arial"/>
        <family val="2"/>
      </rPr>
      <t> y esa lógica deja de aplicar.</t>
    </r>
  </si>
  <si>
    <r>
      <t>Documentación canónica: </t>
    </r>
    <r>
      <rPr>
        <sz val="10.8"/>
        <color rgb="FF81A1C1"/>
        <rFont val="Menlo"/>
        <family val="2"/>
      </rPr>
      <t>docs/CUENTA_CORRIENTE_Y_CAJA.md</t>
    </r>
    <r>
      <rPr>
        <sz val="13"/>
        <color theme="1"/>
        <rFont val="Arial"/>
        <family val="2"/>
      </rPr>
      <t> (apartado </t>
    </r>
    <r>
      <rPr>
        <sz val="13"/>
        <color theme="1"/>
        <rFont val="Arial"/>
        <family val="2"/>
      </rPr>
      <t>Compensación por saldo</t>
    </r>
    <r>
      <rPr>
        <sz val="13"/>
        <color theme="1"/>
        <rFont val="Arial"/>
        <family val="2"/>
      </rPr>
      <t>) y </t>
    </r>
    <r>
      <rPr>
        <sz val="10.8"/>
        <color rgb="FF81A1C1"/>
        <rFont val="Menlo"/>
        <family val="2"/>
      </rPr>
      <t>docs/SUPABASE_REQUISITOS.md</t>
    </r>
    <r>
      <rPr>
        <sz val="13"/>
        <color theme="1"/>
        <rFont val="Arial"/>
        <family val="2"/>
      </rPr>
      <t> (columna </t>
    </r>
    <r>
      <rPr>
        <sz val="10.8"/>
        <color theme="1"/>
        <rFont val="Menlo"/>
        <family val="2"/>
      </rPr>
      <t>compensacion_cc_monto_aplicado</t>
    </r>
    <r>
      <rPr>
        <sz val="13"/>
        <color theme="1"/>
        <rFont val="Arial"/>
        <family val="2"/>
      </rPr>
      <t>).</t>
    </r>
  </si>
  <si>
    <r>
      <t>No confundir</t>
    </r>
    <r>
      <rPr>
        <sz val="13"/>
        <color theme="1"/>
        <rFont val="Arial"/>
        <family val="2"/>
      </rPr>
      <t> con otra idea de “compensación” del producto: el </t>
    </r>
    <r>
      <rPr>
        <sz val="13"/>
        <color theme="1"/>
        <rFont val="Arial"/>
        <family val="2"/>
      </rPr>
      <t>split / auto-compensación</t>
    </r>
    <r>
      <rPr>
        <sz val="13"/>
        <color theme="1"/>
        <rFont val="Arial"/>
        <family val="2"/>
      </rPr>
      <t> cuando el </t>
    </r>
    <r>
      <rPr>
        <sz val="13"/>
        <color theme="1"/>
        <rFont val="Arial"/>
        <family val="2"/>
      </rPr>
      <t>monto ejecutado</t>
    </r>
    <r>
      <rPr>
        <sz val="13"/>
        <color theme="1"/>
        <rFont val="Arial"/>
        <family val="2"/>
      </rPr>
      <t> no coincide con el de la fila Debe/Comp (momentos cero, etc.) es otro mecanismo (cancelación + nueva transacción por la diferencia), descrito en </t>
    </r>
    <r>
      <rPr>
        <sz val="10.8"/>
        <color rgb="FF81A1C1"/>
        <rFont val="Menlo"/>
        <family val="2"/>
      </rPr>
      <t>docs/FLUJOS_CC_REGLA.md</t>
    </r>
    <r>
      <rPr>
        <sz val="13"/>
        <color theme="1"/>
        <rFont val="Arial"/>
        <family val="2"/>
      </rPr>
      <t>, no es la misma leyenda “Compensación parcial/total </t>
    </r>
    <r>
      <rPr>
        <sz val="13"/>
        <color theme="1"/>
        <rFont val="Arial"/>
        <family val="2"/>
      </rPr>
      <t>en cuenta corriente</t>
    </r>
    <r>
      <rPr>
        <sz val="13"/>
        <color theme="1"/>
        <rFont val="Arial"/>
        <family val="2"/>
      </rPr>
      <t>” del flip USD-USD+int.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</si>
</sst>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theme="1"/>
      <name val="Arial"/>
      <family val="2"/>
    </font>
    <font>
      <sz val="13"/>
      <color theme="1"/>
      <name val="Arial"/>
      <family val="2"/>
    </font>
    <font>
      <sz val="15.6"/>
      <color theme="1"/>
      <name val="Arial"/>
      <family val="2"/>
    </font>
    <font>
      <sz val="10.8"/>
      <color theme="1"/>
      <name val="Menlo"/>
      <family val="2"/>
    </font>
    <font>
      <sz val="10.8"/>
      <color rgb="FF81A1C1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  <xf numFmtId="4" fontId="0" fillId="2" borderId="0" xfId="0" applyNumberFormat="1" applyFill="1"/>
    <xf numFmtId="4" fontId="0" fillId="3" borderId="0" xfId="0" applyNumberFormat="1" applyFill="1"/>
    <xf numFmtId="0" fontId="0" fillId="4" borderId="0" xfId="0" applyFill="1"/>
    <xf numFmtId="4" fontId="0" fillId="4" borderId="0" xfId="0" applyNumberFormat="1" applyFill="1"/>
    <xf numFmtId="4" fontId="1" fillId="4" borderId="0" xfId="0" applyNumberFormat="1" applyFont="1" applyFill="1"/>
    <xf numFmtId="0" fontId="1" fillId="4" borderId="0" xfId="0" applyFont="1" applyFill="1"/>
    <xf numFmtId="14" fontId="1" fillId="4" borderId="0" xfId="0" applyNumberFormat="1" applyFont="1" applyFill="1"/>
    <xf numFmtId="0" fontId="2" fillId="0" borderId="1" xfId="0" applyFont="1" applyBorder="1"/>
    <xf numFmtId="14" fontId="2" fillId="0" borderId="2" xfId="0" applyNumberFormat="1" applyFont="1" applyBorder="1"/>
    <xf numFmtId="0" fontId="2" fillId="0" borderId="2" xfId="0" applyFont="1" applyBorder="1"/>
    <xf numFmtId="4" fontId="0" fillId="2" borderId="2" xfId="0" applyNumberFormat="1" applyFill="1" applyBorder="1"/>
    <xf numFmtId="0" fontId="0" fillId="0" borderId="2" xfId="0" applyBorder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opLeftCell="A14" workbookViewId="0">
      <selection activeCell="F20" activeCellId="1" sqref="F22 F20"/>
    </sheetView>
  </sheetViews>
  <sheetFormatPr baseColWidth="10" defaultRowHeight="16" x14ac:dyDescent="0.2"/>
  <cols>
    <col min="5" max="5" width="39.1640625" bestFit="1" customWidth="1"/>
    <col min="6" max="6" width="10.83203125" style="2"/>
  </cols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  <c r="F2" s="2">
        <f>SUM(F5:F40)</f>
        <v>400817.27489999996</v>
      </c>
    </row>
    <row r="4" spans="1:12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s="2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12" x14ac:dyDescent="0.2">
      <c r="A5" t="s">
        <v>77</v>
      </c>
      <c r="B5" t="s">
        <v>70</v>
      </c>
      <c r="E5" t="s">
        <v>78</v>
      </c>
      <c r="F5" s="2">
        <v>-72698.98</v>
      </c>
      <c r="G5">
        <v>0</v>
      </c>
      <c r="H5">
        <v>0</v>
      </c>
      <c r="I5" t="s">
        <v>19</v>
      </c>
      <c r="J5" t="s">
        <v>21</v>
      </c>
      <c r="K5" t="s">
        <v>20</v>
      </c>
      <c r="L5" t="s">
        <v>1</v>
      </c>
    </row>
    <row r="6" spans="1:12" x14ac:dyDescent="0.2">
      <c r="A6" t="s">
        <v>16</v>
      </c>
      <c r="B6" t="s">
        <v>17</v>
      </c>
      <c r="C6">
        <v>4</v>
      </c>
      <c r="D6">
        <v>7</v>
      </c>
      <c r="E6" t="s">
        <v>23</v>
      </c>
      <c r="F6" s="7">
        <v>2945</v>
      </c>
      <c r="G6">
        <v>0</v>
      </c>
      <c r="H6">
        <v>0</v>
      </c>
      <c r="I6" t="s">
        <v>19</v>
      </c>
      <c r="J6" t="s">
        <v>24</v>
      </c>
      <c r="K6" t="s">
        <v>21</v>
      </c>
      <c r="L6" t="s">
        <v>25</v>
      </c>
    </row>
    <row r="7" spans="1:12" x14ac:dyDescent="0.2">
      <c r="A7" t="s">
        <v>16</v>
      </c>
      <c r="B7" t="s">
        <v>17</v>
      </c>
      <c r="C7">
        <v>4</v>
      </c>
      <c r="E7" t="s">
        <v>18</v>
      </c>
      <c r="F7" s="7">
        <v>-14.725</v>
      </c>
      <c r="G7">
        <v>0</v>
      </c>
      <c r="H7">
        <v>0</v>
      </c>
      <c r="I7" t="s">
        <v>19</v>
      </c>
      <c r="J7" t="s">
        <v>20</v>
      </c>
      <c r="K7" t="s">
        <v>21</v>
      </c>
      <c r="L7" t="s">
        <v>22</v>
      </c>
    </row>
    <row r="8" spans="1:12" x14ac:dyDescent="0.2">
      <c r="A8" t="s">
        <v>16</v>
      </c>
      <c r="B8" t="s">
        <v>17</v>
      </c>
      <c r="C8">
        <v>8</v>
      </c>
      <c r="E8" t="s">
        <v>26</v>
      </c>
      <c r="F8" s="7">
        <v>-1250</v>
      </c>
      <c r="G8">
        <v>0</v>
      </c>
      <c r="H8">
        <v>0</v>
      </c>
      <c r="I8" t="s">
        <v>19</v>
      </c>
      <c r="J8" t="s">
        <v>20</v>
      </c>
      <c r="K8" t="s">
        <v>21</v>
      </c>
      <c r="L8" t="s">
        <v>25</v>
      </c>
    </row>
    <row r="9" spans="1:12" x14ac:dyDescent="0.2">
      <c r="A9" t="s">
        <v>16</v>
      </c>
      <c r="B9" t="s">
        <v>17</v>
      </c>
      <c r="C9">
        <v>8</v>
      </c>
      <c r="D9">
        <v>19</v>
      </c>
      <c r="E9" t="s">
        <v>27</v>
      </c>
      <c r="F9" s="7">
        <v>-197500</v>
      </c>
      <c r="G9">
        <v>0</v>
      </c>
      <c r="H9">
        <v>0</v>
      </c>
      <c r="I9" t="s">
        <v>19</v>
      </c>
      <c r="J9" t="s">
        <v>21</v>
      </c>
      <c r="K9" t="s">
        <v>28</v>
      </c>
      <c r="L9" t="s">
        <v>25</v>
      </c>
    </row>
    <row r="10" spans="1:12" x14ac:dyDescent="0.2">
      <c r="A10" t="s">
        <v>75</v>
      </c>
      <c r="B10" t="s">
        <v>70</v>
      </c>
      <c r="E10" t="s">
        <v>71</v>
      </c>
      <c r="F10" s="7">
        <v>25250</v>
      </c>
      <c r="G10">
        <v>0</v>
      </c>
      <c r="H10">
        <v>0</v>
      </c>
      <c r="I10" t="s">
        <v>19</v>
      </c>
      <c r="J10" t="s">
        <v>20</v>
      </c>
      <c r="K10" t="s">
        <v>21</v>
      </c>
      <c r="L10" t="s">
        <v>25</v>
      </c>
    </row>
    <row r="11" spans="1:12" x14ac:dyDescent="0.2">
      <c r="A11" t="s">
        <v>75</v>
      </c>
      <c r="B11" t="s">
        <v>70</v>
      </c>
      <c r="E11" t="s">
        <v>71</v>
      </c>
      <c r="F11" s="7">
        <v>1200</v>
      </c>
      <c r="G11">
        <v>0</v>
      </c>
      <c r="H11">
        <v>0</v>
      </c>
      <c r="I11" t="s">
        <v>19</v>
      </c>
      <c r="J11" t="s">
        <v>20</v>
      </c>
      <c r="K11" t="s">
        <v>21</v>
      </c>
      <c r="L11" t="s">
        <v>25</v>
      </c>
    </row>
    <row r="12" spans="1:12" x14ac:dyDescent="0.2">
      <c r="A12" t="s">
        <v>75</v>
      </c>
      <c r="B12" t="s">
        <v>70</v>
      </c>
      <c r="E12" t="s">
        <v>76</v>
      </c>
      <c r="F12" s="7">
        <v>13115</v>
      </c>
      <c r="G12">
        <v>0</v>
      </c>
      <c r="H12">
        <v>0</v>
      </c>
      <c r="I12" t="s">
        <v>19</v>
      </c>
      <c r="J12" t="s">
        <v>20</v>
      </c>
      <c r="K12" t="s">
        <v>21</v>
      </c>
      <c r="L12" t="s">
        <v>25</v>
      </c>
    </row>
    <row r="13" spans="1:12" x14ac:dyDescent="0.2">
      <c r="A13" t="s">
        <v>29</v>
      </c>
      <c r="B13" t="s">
        <v>17</v>
      </c>
      <c r="C13">
        <v>18</v>
      </c>
      <c r="D13">
        <v>53</v>
      </c>
      <c r="E13" t="s">
        <v>30</v>
      </c>
      <c r="F13" s="7">
        <v>567</v>
      </c>
      <c r="G13">
        <v>0</v>
      </c>
      <c r="H13">
        <v>0</v>
      </c>
      <c r="I13" t="s">
        <v>19</v>
      </c>
      <c r="J13" t="s">
        <v>31</v>
      </c>
      <c r="K13" t="s">
        <v>21</v>
      </c>
      <c r="L13" t="s">
        <v>32</v>
      </c>
    </row>
    <row r="14" spans="1:12" x14ac:dyDescent="0.2">
      <c r="A14" t="s">
        <v>29</v>
      </c>
      <c r="B14" t="s">
        <v>17</v>
      </c>
      <c r="C14">
        <v>19</v>
      </c>
      <c r="D14">
        <v>55</v>
      </c>
      <c r="E14" t="s">
        <v>35</v>
      </c>
      <c r="F14" s="7">
        <v>15445</v>
      </c>
      <c r="G14">
        <v>0</v>
      </c>
      <c r="H14">
        <v>0</v>
      </c>
      <c r="I14" t="s">
        <v>19</v>
      </c>
      <c r="J14" t="s">
        <v>31</v>
      </c>
      <c r="K14" t="s">
        <v>21</v>
      </c>
      <c r="L14" t="s">
        <v>22</v>
      </c>
    </row>
    <row r="15" spans="1:12" x14ac:dyDescent="0.2">
      <c r="A15" t="s">
        <v>29</v>
      </c>
      <c r="B15" t="s">
        <v>17</v>
      </c>
      <c r="C15">
        <v>20</v>
      </c>
      <c r="D15">
        <v>57</v>
      </c>
      <c r="E15" t="s">
        <v>36</v>
      </c>
      <c r="F15" s="7">
        <v>4190</v>
      </c>
      <c r="G15">
        <v>0</v>
      </c>
      <c r="H15">
        <v>0</v>
      </c>
      <c r="I15" t="s">
        <v>19</v>
      </c>
      <c r="J15" t="s">
        <v>37</v>
      </c>
      <c r="K15" t="s">
        <v>21</v>
      </c>
      <c r="L15" t="s">
        <v>32</v>
      </c>
    </row>
    <row r="16" spans="1:12" x14ac:dyDescent="0.2">
      <c r="A16" t="s">
        <v>29</v>
      </c>
      <c r="B16" t="s">
        <v>17</v>
      </c>
      <c r="C16">
        <v>18</v>
      </c>
      <c r="E16" t="s">
        <v>33</v>
      </c>
      <c r="F16" s="7">
        <v>-2.835</v>
      </c>
      <c r="G16">
        <v>0</v>
      </c>
      <c r="H16">
        <v>0</v>
      </c>
      <c r="I16" t="s">
        <v>19</v>
      </c>
      <c r="J16" t="s">
        <v>20</v>
      </c>
      <c r="K16" t="s">
        <v>21</v>
      </c>
      <c r="L16" t="s">
        <v>22</v>
      </c>
    </row>
    <row r="17" spans="1:12" x14ac:dyDescent="0.2">
      <c r="A17" t="s">
        <v>29</v>
      </c>
      <c r="B17" t="s">
        <v>17</v>
      </c>
      <c r="C17">
        <v>19</v>
      </c>
      <c r="E17" t="s">
        <v>34</v>
      </c>
      <c r="F17" s="7">
        <v>-77.224999999999994</v>
      </c>
      <c r="G17">
        <v>0</v>
      </c>
      <c r="H17">
        <v>0</v>
      </c>
      <c r="I17" t="s">
        <v>19</v>
      </c>
      <c r="J17" t="s">
        <v>20</v>
      </c>
      <c r="K17" t="s">
        <v>21</v>
      </c>
      <c r="L17" t="s">
        <v>22</v>
      </c>
    </row>
    <row r="18" spans="1:12" x14ac:dyDescent="0.2">
      <c r="A18" t="s">
        <v>29</v>
      </c>
      <c r="B18" t="s">
        <v>17</v>
      </c>
      <c r="C18">
        <v>20</v>
      </c>
      <c r="E18" t="s">
        <v>38</v>
      </c>
      <c r="F18" s="7">
        <v>-20.95</v>
      </c>
      <c r="G18">
        <v>0</v>
      </c>
      <c r="H18">
        <v>0</v>
      </c>
      <c r="I18" t="s">
        <v>19</v>
      </c>
      <c r="J18" t="s">
        <v>20</v>
      </c>
      <c r="K18" t="s">
        <v>21</v>
      </c>
      <c r="L18" t="s">
        <v>22</v>
      </c>
    </row>
    <row r="19" spans="1:12" x14ac:dyDescent="0.2">
      <c r="A19" t="s">
        <v>39</v>
      </c>
      <c r="B19" t="s">
        <v>70</v>
      </c>
      <c r="E19" t="s">
        <v>74</v>
      </c>
      <c r="F19" s="6">
        <v>204000</v>
      </c>
      <c r="G19">
        <v>0</v>
      </c>
      <c r="H19">
        <v>0</v>
      </c>
      <c r="I19" t="s">
        <v>19</v>
      </c>
      <c r="J19" t="s">
        <v>20</v>
      </c>
      <c r="K19" t="s">
        <v>21</v>
      </c>
      <c r="L19" t="s">
        <v>25</v>
      </c>
    </row>
    <row r="20" spans="1:12" x14ac:dyDescent="0.2">
      <c r="A20" t="s">
        <v>39</v>
      </c>
      <c r="B20" t="s">
        <v>17</v>
      </c>
      <c r="C20">
        <v>28</v>
      </c>
      <c r="D20">
        <v>75</v>
      </c>
      <c r="E20" t="s">
        <v>41</v>
      </c>
      <c r="F20" s="7">
        <v>9935</v>
      </c>
      <c r="G20">
        <v>0</v>
      </c>
      <c r="H20">
        <v>0</v>
      </c>
      <c r="I20" t="s">
        <v>19</v>
      </c>
      <c r="J20" t="s">
        <v>24</v>
      </c>
      <c r="K20" t="s">
        <v>21</v>
      </c>
      <c r="L20" t="s">
        <v>22</v>
      </c>
    </row>
    <row r="21" spans="1:12" x14ac:dyDescent="0.2">
      <c r="A21" t="s">
        <v>39</v>
      </c>
      <c r="B21" t="s">
        <v>17</v>
      </c>
      <c r="C21">
        <v>31</v>
      </c>
      <c r="D21">
        <v>81</v>
      </c>
      <c r="E21" t="s">
        <v>42</v>
      </c>
      <c r="F21" s="7">
        <v>13945</v>
      </c>
      <c r="G21">
        <v>0</v>
      </c>
      <c r="H21">
        <v>0</v>
      </c>
      <c r="I21" t="s">
        <v>19</v>
      </c>
      <c r="J21" t="s">
        <v>43</v>
      </c>
      <c r="K21" t="s">
        <v>21</v>
      </c>
      <c r="L21" t="s">
        <v>25</v>
      </c>
    </row>
    <row r="22" spans="1:12" x14ac:dyDescent="0.2">
      <c r="A22" t="s">
        <v>39</v>
      </c>
      <c r="B22" t="s">
        <v>17</v>
      </c>
      <c r="C22">
        <v>28</v>
      </c>
      <c r="E22" t="s">
        <v>40</v>
      </c>
      <c r="F22" s="7">
        <v>-49.674999999999997</v>
      </c>
      <c r="G22">
        <v>0</v>
      </c>
      <c r="H22">
        <v>0</v>
      </c>
      <c r="I22" t="s">
        <v>19</v>
      </c>
      <c r="J22" t="s">
        <v>20</v>
      </c>
      <c r="K22" t="s">
        <v>21</v>
      </c>
      <c r="L22" t="s">
        <v>22</v>
      </c>
    </row>
    <row r="23" spans="1:12" x14ac:dyDescent="0.2">
      <c r="A23" t="s">
        <v>39</v>
      </c>
      <c r="B23" t="s">
        <v>17</v>
      </c>
      <c r="C23">
        <v>31</v>
      </c>
      <c r="E23" t="s">
        <v>44</v>
      </c>
      <c r="F23" s="7">
        <v>-69.724999999999994</v>
      </c>
      <c r="G23">
        <v>0</v>
      </c>
      <c r="H23">
        <v>0</v>
      </c>
      <c r="I23" t="s">
        <v>19</v>
      </c>
      <c r="J23" t="s">
        <v>20</v>
      </c>
      <c r="K23" t="s">
        <v>21</v>
      </c>
      <c r="L23" t="s">
        <v>25</v>
      </c>
    </row>
    <row r="24" spans="1:12" x14ac:dyDescent="0.2">
      <c r="A24" t="s">
        <v>45</v>
      </c>
      <c r="B24" t="s">
        <v>17</v>
      </c>
      <c r="C24">
        <v>38</v>
      </c>
      <c r="D24">
        <v>95</v>
      </c>
      <c r="E24" t="s">
        <v>47</v>
      </c>
      <c r="F24" s="7">
        <v>25990.01</v>
      </c>
      <c r="G24">
        <v>0</v>
      </c>
      <c r="H24">
        <v>0</v>
      </c>
      <c r="I24" t="s">
        <v>19</v>
      </c>
      <c r="J24" t="s">
        <v>48</v>
      </c>
      <c r="K24" t="s">
        <v>21</v>
      </c>
      <c r="L24" t="s">
        <v>32</v>
      </c>
    </row>
    <row r="25" spans="1:12" x14ac:dyDescent="0.2">
      <c r="A25" t="s">
        <v>45</v>
      </c>
      <c r="B25" t="s">
        <v>17</v>
      </c>
      <c r="C25">
        <v>38</v>
      </c>
      <c r="E25" t="s">
        <v>46</v>
      </c>
      <c r="F25" s="7">
        <v>-129.95009999999999</v>
      </c>
      <c r="G25">
        <v>0</v>
      </c>
      <c r="H25">
        <v>0</v>
      </c>
      <c r="I25" t="s">
        <v>19</v>
      </c>
      <c r="J25" t="s">
        <v>20</v>
      </c>
      <c r="K25" t="s">
        <v>21</v>
      </c>
      <c r="L25" t="s">
        <v>22</v>
      </c>
    </row>
    <row r="26" spans="1:12" x14ac:dyDescent="0.2">
      <c r="A26" t="s">
        <v>52</v>
      </c>
      <c r="B26" t="s">
        <v>17</v>
      </c>
      <c r="C26">
        <v>42</v>
      </c>
      <c r="D26">
        <v>105</v>
      </c>
      <c r="E26" t="s">
        <v>56</v>
      </c>
      <c r="F26" s="7">
        <v>4400</v>
      </c>
      <c r="G26">
        <v>0</v>
      </c>
      <c r="H26">
        <v>0</v>
      </c>
      <c r="I26" t="s">
        <v>19</v>
      </c>
      <c r="J26" t="s">
        <v>57</v>
      </c>
      <c r="K26" t="s">
        <v>21</v>
      </c>
      <c r="L26" t="s">
        <v>22</v>
      </c>
    </row>
    <row r="27" spans="1:12" x14ac:dyDescent="0.2">
      <c r="A27" t="s">
        <v>52</v>
      </c>
      <c r="B27" t="s">
        <v>17</v>
      </c>
      <c r="C27">
        <v>43</v>
      </c>
      <c r="D27">
        <v>107</v>
      </c>
      <c r="E27" t="s">
        <v>60</v>
      </c>
      <c r="F27" s="7">
        <v>5234</v>
      </c>
      <c r="G27">
        <v>0</v>
      </c>
      <c r="H27">
        <v>0</v>
      </c>
      <c r="I27" t="s">
        <v>19</v>
      </c>
      <c r="J27" t="s">
        <v>61</v>
      </c>
      <c r="K27" t="s">
        <v>21</v>
      </c>
      <c r="L27" t="s">
        <v>22</v>
      </c>
    </row>
    <row r="28" spans="1:12" x14ac:dyDescent="0.2">
      <c r="A28" t="s">
        <v>52</v>
      </c>
      <c r="B28" t="s">
        <v>17</v>
      </c>
      <c r="C28">
        <v>41</v>
      </c>
      <c r="E28" t="s">
        <v>53</v>
      </c>
      <c r="F28" s="7">
        <v>-75</v>
      </c>
      <c r="G28">
        <v>0</v>
      </c>
      <c r="H28">
        <v>0</v>
      </c>
      <c r="I28" t="s">
        <v>19</v>
      </c>
      <c r="J28" t="s">
        <v>20</v>
      </c>
      <c r="K28" t="s">
        <v>21</v>
      </c>
      <c r="L28" t="s">
        <v>22</v>
      </c>
    </row>
    <row r="29" spans="1:12" x14ac:dyDescent="0.2">
      <c r="A29" t="s">
        <v>52</v>
      </c>
      <c r="B29" t="s">
        <v>17</v>
      </c>
      <c r="C29">
        <v>42</v>
      </c>
      <c r="E29" t="s">
        <v>58</v>
      </c>
      <c r="F29" s="7">
        <v>-22</v>
      </c>
      <c r="G29">
        <v>0</v>
      </c>
      <c r="H29">
        <v>0</v>
      </c>
      <c r="I29" t="s">
        <v>19</v>
      </c>
      <c r="J29" t="s">
        <v>20</v>
      </c>
      <c r="K29" t="s">
        <v>21</v>
      </c>
      <c r="L29" t="s">
        <v>22</v>
      </c>
    </row>
    <row r="30" spans="1:12" x14ac:dyDescent="0.2">
      <c r="A30" t="s">
        <v>52</v>
      </c>
      <c r="B30" t="s">
        <v>17</v>
      </c>
      <c r="C30">
        <v>43</v>
      </c>
      <c r="E30" t="s">
        <v>59</v>
      </c>
      <c r="F30" s="7">
        <v>-26.17</v>
      </c>
      <c r="G30">
        <v>0</v>
      </c>
      <c r="H30">
        <v>0</v>
      </c>
      <c r="I30" t="s">
        <v>19</v>
      </c>
      <c r="J30" t="s">
        <v>20</v>
      </c>
      <c r="K30" t="s">
        <v>21</v>
      </c>
      <c r="L30" t="s">
        <v>32</v>
      </c>
    </row>
    <row r="31" spans="1:12" x14ac:dyDescent="0.2">
      <c r="A31" t="s">
        <v>52</v>
      </c>
      <c r="B31" t="s">
        <v>17</v>
      </c>
      <c r="C31">
        <v>41</v>
      </c>
      <c r="D31">
        <v>102</v>
      </c>
      <c r="E31" t="s">
        <v>54</v>
      </c>
      <c r="F31" s="7">
        <v>-15000</v>
      </c>
      <c r="G31">
        <v>0</v>
      </c>
      <c r="H31">
        <v>0</v>
      </c>
      <c r="I31" t="s">
        <v>19</v>
      </c>
      <c r="J31" t="s">
        <v>21</v>
      </c>
      <c r="K31" t="s">
        <v>55</v>
      </c>
      <c r="L31" t="s">
        <v>22</v>
      </c>
    </row>
    <row r="32" spans="1:12" x14ac:dyDescent="0.2">
      <c r="A32" t="s">
        <v>52</v>
      </c>
      <c r="B32" t="s">
        <v>70</v>
      </c>
      <c r="E32" t="s">
        <v>72</v>
      </c>
      <c r="F32" s="7">
        <v>-1030</v>
      </c>
      <c r="G32">
        <v>0</v>
      </c>
      <c r="H32">
        <v>0</v>
      </c>
      <c r="I32" t="s">
        <v>19</v>
      </c>
      <c r="J32" t="s">
        <v>21</v>
      </c>
      <c r="K32" t="s">
        <v>20</v>
      </c>
      <c r="L32" t="s">
        <v>32</v>
      </c>
    </row>
    <row r="33" spans="1:13" x14ac:dyDescent="0.2">
      <c r="A33" t="s">
        <v>52</v>
      </c>
      <c r="B33" t="s">
        <v>70</v>
      </c>
      <c r="E33" t="s">
        <v>72</v>
      </c>
      <c r="F33" s="7">
        <v>-56554</v>
      </c>
      <c r="G33">
        <v>0</v>
      </c>
      <c r="H33">
        <v>0</v>
      </c>
      <c r="I33" t="s">
        <v>19</v>
      </c>
      <c r="J33" t="s">
        <v>21</v>
      </c>
      <c r="K33" t="s">
        <v>20</v>
      </c>
      <c r="L33" t="s">
        <v>32</v>
      </c>
    </row>
    <row r="34" spans="1:13" x14ac:dyDescent="0.2">
      <c r="A34" t="s">
        <v>52</v>
      </c>
      <c r="B34" t="s">
        <v>70</v>
      </c>
      <c r="E34" t="s">
        <v>73</v>
      </c>
      <c r="F34" s="7">
        <v>-6050</v>
      </c>
      <c r="G34">
        <v>0</v>
      </c>
      <c r="H34">
        <v>0</v>
      </c>
      <c r="I34" t="s">
        <v>19</v>
      </c>
      <c r="J34" t="s">
        <v>21</v>
      </c>
      <c r="K34" t="s">
        <v>20</v>
      </c>
      <c r="L34" t="s">
        <v>32</v>
      </c>
    </row>
    <row r="35" spans="1:13" x14ac:dyDescent="0.2">
      <c r="A35" t="s">
        <v>49</v>
      </c>
      <c r="B35" t="s">
        <v>70</v>
      </c>
      <c r="E35" t="s">
        <v>71</v>
      </c>
      <c r="F35" s="7">
        <v>200000</v>
      </c>
      <c r="G35">
        <v>0</v>
      </c>
      <c r="H35">
        <v>0</v>
      </c>
      <c r="I35" t="s">
        <v>19</v>
      </c>
      <c r="J35" t="s">
        <v>20</v>
      </c>
      <c r="K35" t="s">
        <v>21</v>
      </c>
      <c r="L35" t="s">
        <v>25</v>
      </c>
    </row>
    <row r="36" spans="1:13" x14ac:dyDescent="0.2">
      <c r="A36" t="s">
        <v>49</v>
      </c>
      <c r="B36" t="s">
        <v>17</v>
      </c>
      <c r="C36">
        <v>39</v>
      </c>
      <c r="D36">
        <v>97</v>
      </c>
      <c r="E36" t="s">
        <v>50</v>
      </c>
      <c r="F36" s="6">
        <v>57708</v>
      </c>
      <c r="G36">
        <v>0</v>
      </c>
      <c r="H36">
        <v>0</v>
      </c>
      <c r="I36" t="s">
        <v>19</v>
      </c>
      <c r="J36" t="s">
        <v>51</v>
      </c>
      <c r="K36" t="s">
        <v>21</v>
      </c>
      <c r="L36" t="s">
        <v>32</v>
      </c>
    </row>
    <row r="37" spans="1:13" x14ac:dyDescent="0.2">
      <c r="A37" t="s">
        <v>49</v>
      </c>
      <c r="B37" t="s">
        <v>17</v>
      </c>
      <c r="C37">
        <v>49</v>
      </c>
      <c r="D37">
        <v>119</v>
      </c>
      <c r="E37" t="s">
        <v>62</v>
      </c>
      <c r="F37" s="7">
        <v>5100</v>
      </c>
      <c r="G37">
        <v>0</v>
      </c>
      <c r="H37">
        <v>0</v>
      </c>
      <c r="I37" t="s">
        <v>19</v>
      </c>
      <c r="J37" t="s">
        <v>63</v>
      </c>
      <c r="K37" t="s">
        <v>21</v>
      </c>
      <c r="L37" t="s">
        <v>32</v>
      </c>
    </row>
    <row r="38" spans="1:13" x14ac:dyDescent="0.2">
      <c r="A38" t="s">
        <v>49</v>
      </c>
      <c r="B38" t="s">
        <v>17</v>
      </c>
      <c r="C38">
        <v>49</v>
      </c>
      <c r="E38" t="s">
        <v>64</v>
      </c>
      <c r="F38" s="7">
        <v>-25.5</v>
      </c>
      <c r="G38">
        <v>0</v>
      </c>
      <c r="H38">
        <v>0</v>
      </c>
      <c r="I38" t="s">
        <v>19</v>
      </c>
      <c r="J38" t="s">
        <v>20</v>
      </c>
      <c r="K38" t="s">
        <v>21</v>
      </c>
      <c r="L38" t="s">
        <v>22</v>
      </c>
    </row>
    <row r="39" spans="1:13" x14ac:dyDescent="0.2">
      <c r="A39" t="s">
        <v>65</v>
      </c>
      <c r="B39" t="s">
        <v>17</v>
      </c>
      <c r="C39">
        <v>55</v>
      </c>
      <c r="D39">
        <v>133</v>
      </c>
      <c r="E39" t="s">
        <v>66</v>
      </c>
      <c r="F39" s="6">
        <v>152245</v>
      </c>
      <c r="G39">
        <v>0</v>
      </c>
      <c r="H39">
        <v>0</v>
      </c>
      <c r="I39" t="s">
        <v>19</v>
      </c>
      <c r="J39" t="s">
        <v>67</v>
      </c>
      <c r="K39" t="s">
        <v>21</v>
      </c>
      <c r="L39" t="s">
        <v>32</v>
      </c>
      <c r="M39" s="2"/>
    </row>
    <row r="40" spans="1:13" s="8" customFormat="1" x14ac:dyDescent="0.2">
      <c r="A40" s="8" t="s">
        <v>65</v>
      </c>
      <c r="B40" s="8" t="s">
        <v>17</v>
      </c>
      <c r="C40" s="8">
        <v>56</v>
      </c>
      <c r="D40" s="8">
        <v>135</v>
      </c>
      <c r="E40" s="8" t="s">
        <v>68</v>
      </c>
      <c r="F40" s="9">
        <v>10145</v>
      </c>
      <c r="G40" s="8">
        <v>0</v>
      </c>
      <c r="H40" s="8">
        <v>0</v>
      </c>
      <c r="I40" s="8" t="s">
        <v>19</v>
      </c>
      <c r="J40" s="8" t="s">
        <v>69</v>
      </c>
      <c r="K40" s="8" t="s">
        <v>21</v>
      </c>
      <c r="L40" s="8" t="s">
        <v>32</v>
      </c>
    </row>
  </sheetData>
  <autoFilter ref="A4:L40" xr:uid="{00000000-0009-0000-0000-000000000000}">
    <sortState xmlns:xlrd2="http://schemas.microsoft.com/office/spreadsheetml/2017/richdata2" ref="A5:L40">
      <sortCondition ref="A5:A40"/>
    </sortState>
  </autoFilter>
  <pageMargins left="0.7" right="0.7" top="0.75" bottom="0.75" header="0.3" footer="0.3"/>
  <ignoredErrors>
    <ignoredError sqref="A1:L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416"/>
  <sheetViews>
    <sheetView topLeftCell="A46" workbookViewId="0">
      <selection sqref="A1:XFD1048576"/>
    </sheetView>
  </sheetViews>
  <sheetFormatPr baseColWidth="10" defaultRowHeight="16" x14ac:dyDescent="0.2"/>
  <cols>
    <col min="10" max="10" width="12.6640625" bestFit="1" customWidth="1"/>
  </cols>
  <sheetData>
    <row r="3" spans="2:10" x14ac:dyDescent="0.2">
      <c r="J3" s="2">
        <f>+SUM(J8:J415)</f>
        <v>71419834.620000005</v>
      </c>
    </row>
    <row r="4" spans="2:10" x14ac:dyDescent="0.2">
      <c r="H4" t="s">
        <v>79</v>
      </c>
    </row>
    <row r="5" spans="2:10" x14ac:dyDescent="0.2">
      <c r="B5" t="s">
        <v>4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</row>
    <row r="6" spans="2:10" x14ac:dyDescent="0.2">
      <c r="B6" s="1">
        <v>46080</v>
      </c>
      <c r="C6" t="s">
        <v>88</v>
      </c>
      <c r="D6" t="s">
        <v>89</v>
      </c>
      <c r="G6" t="s">
        <v>90</v>
      </c>
      <c r="H6">
        <v>3.1</v>
      </c>
      <c r="I6" t="s">
        <v>91</v>
      </c>
      <c r="J6">
        <v>3100</v>
      </c>
    </row>
    <row r="7" spans="2:10" x14ac:dyDescent="0.2">
      <c r="B7" s="1">
        <v>46080</v>
      </c>
      <c r="C7" t="s">
        <v>88</v>
      </c>
      <c r="D7" t="s">
        <v>89</v>
      </c>
      <c r="G7" t="s">
        <v>92</v>
      </c>
      <c r="H7">
        <v>3.8159999999999998</v>
      </c>
      <c r="I7" t="s">
        <v>93</v>
      </c>
      <c r="J7">
        <v>3816.25</v>
      </c>
    </row>
    <row r="8" spans="2:10" x14ac:dyDescent="0.2">
      <c r="B8" s="1">
        <v>46080</v>
      </c>
      <c r="C8" t="s">
        <v>21</v>
      </c>
      <c r="D8" t="s">
        <v>94</v>
      </c>
      <c r="G8" t="s">
        <v>95</v>
      </c>
      <c r="H8">
        <v>-2.423</v>
      </c>
      <c r="I8" t="s">
        <v>96</v>
      </c>
      <c r="J8">
        <v>2422.8200000000002</v>
      </c>
    </row>
    <row r="9" spans="2:10" x14ac:dyDescent="0.2">
      <c r="B9" s="1">
        <v>46080</v>
      </c>
      <c r="C9" t="s">
        <v>97</v>
      </c>
      <c r="D9" t="s">
        <v>89</v>
      </c>
      <c r="G9" t="s">
        <v>98</v>
      </c>
      <c r="H9">
        <v>3.84</v>
      </c>
      <c r="I9" t="s">
        <v>99</v>
      </c>
      <c r="J9">
        <v>3840</v>
      </c>
    </row>
    <row r="10" spans="2:10" x14ac:dyDescent="0.2">
      <c r="B10" s="1">
        <v>46080</v>
      </c>
      <c r="C10" t="s">
        <v>97</v>
      </c>
      <c r="D10" t="s">
        <v>94</v>
      </c>
      <c r="G10" t="s">
        <v>98</v>
      </c>
      <c r="H10">
        <v>-3.84</v>
      </c>
      <c r="I10" t="s">
        <v>100</v>
      </c>
      <c r="J10">
        <v>3840</v>
      </c>
    </row>
    <row r="11" spans="2:10" x14ac:dyDescent="0.2">
      <c r="B11" s="1">
        <v>46080</v>
      </c>
      <c r="C11" t="s">
        <v>21</v>
      </c>
      <c r="D11" t="s">
        <v>94</v>
      </c>
      <c r="G11" t="s">
        <v>101</v>
      </c>
      <c r="H11">
        <v>-3.915</v>
      </c>
      <c r="I11" t="s">
        <v>96</v>
      </c>
      <c r="J11">
        <v>3915</v>
      </c>
    </row>
    <row r="12" spans="2:10" x14ac:dyDescent="0.2">
      <c r="B12" s="1">
        <v>46080</v>
      </c>
      <c r="C12" t="s">
        <v>21</v>
      </c>
      <c r="D12" t="s">
        <v>94</v>
      </c>
      <c r="G12" t="s">
        <v>102</v>
      </c>
      <c r="H12">
        <v>-19.7</v>
      </c>
      <c r="I12" t="s">
        <v>103</v>
      </c>
      <c r="J12">
        <v>19700</v>
      </c>
    </row>
    <row r="13" spans="2:10" x14ac:dyDescent="0.2">
      <c r="B13" s="1">
        <v>46080</v>
      </c>
      <c r="C13" t="s">
        <v>21</v>
      </c>
      <c r="D13" t="s">
        <v>94</v>
      </c>
      <c r="G13" t="s">
        <v>104</v>
      </c>
      <c r="H13">
        <v>-150</v>
      </c>
      <c r="I13" t="s">
        <v>105</v>
      </c>
      <c r="J13">
        <v>150</v>
      </c>
    </row>
    <row r="14" spans="2:10" x14ac:dyDescent="0.2">
      <c r="B14" s="1">
        <v>46083</v>
      </c>
      <c r="C14" t="s">
        <v>21</v>
      </c>
      <c r="D14" t="s">
        <v>89</v>
      </c>
      <c r="G14" t="s">
        <v>106</v>
      </c>
      <c r="H14">
        <v>30.05</v>
      </c>
      <c r="I14" t="s">
        <v>107</v>
      </c>
      <c r="J14">
        <v>30050</v>
      </c>
    </row>
    <row r="15" spans="2:10" x14ac:dyDescent="0.2">
      <c r="B15" s="1">
        <v>46083</v>
      </c>
      <c r="C15" t="s">
        <v>107</v>
      </c>
      <c r="D15" t="s">
        <v>94</v>
      </c>
      <c r="G15" t="s">
        <v>108</v>
      </c>
      <c r="H15">
        <v>-30.45</v>
      </c>
      <c r="I15" t="s">
        <v>109</v>
      </c>
      <c r="J15">
        <v>30450</v>
      </c>
    </row>
    <row r="16" spans="2:10" x14ac:dyDescent="0.2">
      <c r="B16" s="1">
        <v>46083</v>
      </c>
      <c r="C16" t="s">
        <v>110</v>
      </c>
      <c r="D16" t="s">
        <v>94</v>
      </c>
      <c r="G16" t="s">
        <v>111</v>
      </c>
      <c r="H16">
        <v>-2.415</v>
      </c>
      <c r="I16" t="s">
        <v>112</v>
      </c>
      <c r="J16">
        <v>2415</v>
      </c>
    </row>
    <row r="17" spans="2:10" x14ac:dyDescent="0.2">
      <c r="B17" s="1">
        <v>46083</v>
      </c>
      <c r="C17" t="s">
        <v>21</v>
      </c>
      <c r="D17" t="s">
        <v>94</v>
      </c>
      <c r="G17" t="s">
        <v>113</v>
      </c>
      <c r="H17">
        <v>-1.5</v>
      </c>
      <c r="I17" t="s">
        <v>114</v>
      </c>
      <c r="J17">
        <v>1500</v>
      </c>
    </row>
    <row r="18" spans="2:10" x14ac:dyDescent="0.2">
      <c r="B18" s="1">
        <v>46083</v>
      </c>
      <c r="C18" t="s">
        <v>110</v>
      </c>
      <c r="D18" t="s">
        <v>89</v>
      </c>
      <c r="G18" t="s">
        <v>115</v>
      </c>
      <c r="H18">
        <v>7.15</v>
      </c>
      <c r="I18" t="s">
        <v>116</v>
      </c>
      <c r="J18">
        <v>7150</v>
      </c>
    </row>
    <row r="19" spans="2:10" x14ac:dyDescent="0.2">
      <c r="B19" s="1">
        <v>46083</v>
      </c>
      <c r="C19" t="s">
        <v>103</v>
      </c>
      <c r="D19" t="s">
        <v>89</v>
      </c>
      <c r="G19" t="s">
        <v>102</v>
      </c>
      <c r="H19">
        <v>19.7</v>
      </c>
      <c r="I19" t="s">
        <v>117</v>
      </c>
      <c r="J19">
        <v>19700</v>
      </c>
    </row>
    <row r="20" spans="2:10" x14ac:dyDescent="0.2">
      <c r="B20" s="1">
        <v>46083</v>
      </c>
      <c r="C20" t="s">
        <v>103</v>
      </c>
      <c r="D20" t="s">
        <v>94</v>
      </c>
      <c r="G20" t="s">
        <v>102</v>
      </c>
      <c r="H20">
        <v>-19.7</v>
      </c>
      <c r="I20" t="s">
        <v>118</v>
      </c>
      <c r="J20">
        <v>19700</v>
      </c>
    </row>
    <row r="21" spans="2:10" x14ac:dyDescent="0.2">
      <c r="B21" s="1">
        <v>46083</v>
      </c>
      <c r="C21" t="s">
        <v>21</v>
      </c>
      <c r="D21" t="s">
        <v>94</v>
      </c>
      <c r="G21" t="s">
        <v>119</v>
      </c>
      <c r="H21">
        <v>-4.9249999999999998</v>
      </c>
      <c r="I21" t="s">
        <v>120</v>
      </c>
      <c r="J21">
        <v>4925</v>
      </c>
    </row>
    <row r="22" spans="2:10" x14ac:dyDescent="0.2">
      <c r="B22" s="1">
        <v>46084</v>
      </c>
      <c r="C22" t="s">
        <v>21</v>
      </c>
      <c r="D22" t="s">
        <v>94</v>
      </c>
      <c r="G22" t="s">
        <v>121</v>
      </c>
      <c r="H22">
        <v>-15.069000000000001</v>
      </c>
      <c r="I22" t="s">
        <v>122</v>
      </c>
      <c r="J22">
        <v>15069.2</v>
      </c>
    </row>
    <row r="23" spans="2:10" x14ac:dyDescent="0.2">
      <c r="B23" s="1">
        <v>46084</v>
      </c>
      <c r="C23" t="s">
        <v>69</v>
      </c>
      <c r="D23" t="s">
        <v>89</v>
      </c>
      <c r="G23" t="s">
        <v>123</v>
      </c>
      <c r="H23">
        <v>15</v>
      </c>
      <c r="I23" t="s">
        <v>124</v>
      </c>
      <c r="J23">
        <v>15000</v>
      </c>
    </row>
    <row r="24" spans="2:10" x14ac:dyDescent="0.2">
      <c r="B24" s="1">
        <v>46084</v>
      </c>
      <c r="C24" t="s">
        <v>125</v>
      </c>
      <c r="D24" t="s">
        <v>94</v>
      </c>
      <c r="G24" t="s">
        <v>126</v>
      </c>
      <c r="H24">
        <v>-3.47</v>
      </c>
      <c r="I24" t="s">
        <v>127</v>
      </c>
      <c r="J24">
        <v>3470</v>
      </c>
    </row>
    <row r="25" spans="2:10" x14ac:dyDescent="0.2">
      <c r="B25" s="1">
        <v>46084</v>
      </c>
      <c r="C25" t="s">
        <v>21</v>
      </c>
      <c r="D25" t="s">
        <v>94</v>
      </c>
      <c r="G25" t="s">
        <v>128</v>
      </c>
      <c r="H25">
        <v>-750</v>
      </c>
      <c r="I25" t="s">
        <v>129</v>
      </c>
      <c r="J25">
        <v>750</v>
      </c>
    </row>
    <row r="26" spans="2:10" x14ac:dyDescent="0.2">
      <c r="B26" s="1">
        <v>46084</v>
      </c>
      <c r="C26" t="s">
        <v>21</v>
      </c>
      <c r="D26" t="s">
        <v>89</v>
      </c>
      <c r="G26" t="s">
        <v>130</v>
      </c>
      <c r="H26">
        <v>20.05</v>
      </c>
      <c r="I26" t="s">
        <v>131</v>
      </c>
      <c r="J26">
        <v>20050</v>
      </c>
    </row>
    <row r="27" spans="2:10" x14ac:dyDescent="0.2">
      <c r="B27" s="1">
        <v>46084</v>
      </c>
      <c r="C27" t="s">
        <v>132</v>
      </c>
      <c r="D27" t="s">
        <v>94</v>
      </c>
      <c r="G27" t="s">
        <v>130</v>
      </c>
      <c r="H27">
        <v>-20.05</v>
      </c>
      <c r="J27">
        <v>20050</v>
      </c>
    </row>
    <row r="28" spans="2:10" x14ac:dyDescent="0.2">
      <c r="B28" s="1">
        <v>46084</v>
      </c>
      <c r="C28" t="s">
        <v>88</v>
      </c>
      <c r="D28" t="s">
        <v>89</v>
      </c>
      <c r="G28" t="s">
        <v>133</v>
      </c>
      <c r="H28">
        <v>3.4449999999999998</v>
      </c>
      <c r="I28" t="s">
        <v>134</v>
      </c>
      <c r="J28">
        <v>3445.2</v>
      </c>
    </row>
    <row r="29" spans="2:10" x14ac:dyDescent="0.2">
      <c r="B29" s="1">
        <v>46084</v>
      </c>
      <c r="C29" t="s">
        <v>135</v>
      </c>
      <c r="D29" t="s">
        <v>94</v>
      </c>
      <c r="G29" t="s">
        <v>136</v>
      </c>
      <c r="H29">
        <v>-1</v>
      </c>
      <c r="I29" t="s">
        <v>137</v>
      </c>
      <c r="J29">
        <v>1000</v>
      </c>
    </row>
    <row r="30" spans="2:10" x14ac:dyDescent="0.2">
      <c r="B30" s="1">
        <v>46084</v>
      </c>
      <c r="C30" t="s">
        <v>138</v>
      </c>
      <c r="D30" t="s">
        <v>94</v>
      </c>
      <c r="G30" t="s">
        <v>139</v>
      </c>
      <c r="H30">
        <v>-4.5</v>
      </c>
      <c r="I30" t="s">
        <v>137</v>
      </c>
      <c r="J30">
        <v>4500</v>
      </c>
    </row>
    <row r="31" spans="2:10" x14ac:dyDescent="0.2">
      <c r="B31" s="1">
        <v>46084</v>
      </c>
      <c r="C31" t="s">
        <v>140</v>
      </c>
      <c r="D31" t="s">
        <v>94</v>
      </c>
      <c r="G31" t="s">
        <v>141</v>
      </c>
      <c r="H31">
        <v>-2</v>
      </c>
      <c r="I31" t="s">
        <v>137</v>
      </c>
      <c r="J31">
        <v>2000</v>
      </c>
    </row>
    <row r="32" spans="2:10" x14ac:dyDescent="0.2">
      <c r="B32" s="1">
        <v>46084</v>
      </c>
      <c r="C32" t="s">
        <v>142</v>
      </c>
      <c r="D32" t="s">
        <v>94</v>
      </c>
      <c r="G32" t="s">
        <v>143</v>
      </c>
      <c r="H32">
        <v>-884</v>
      </c>
      <c r="I32" t="s">
        <v>137</v>
      </c>
      <c r="J32">
        <v>884</v>
      </c>
    </row>
    <row r="33" spans="2:10" x14ac:dyDescent="0.2">
      <c r="B33" s="1">
        <v>46084</v>
      </c>
      <c r="C33" t="s">
        <v>144</v>
      </c>
      <c r="D33" t="s">
        <v>94</v>
      </c>
      <c r="G33" t="s">
        <v>145</v>
      </c>
      <c r="H33">
        <v>-6.8949999999999996</v>
      </c>
      <c r="I33" t="s">
        <v>137</v>
      </c>
      <c r="J33">
        <v>6895</v>
      </c>
    </row>
    <row r="34" spans="2:10" x14ac:dyDescent="0.2">
      <c r="B34" s="1">
        <v>46084</v>
      </c>
      <c r="C34" t="s">
        <v>146</v>
      </c>
      <c r="D34" t="s">
        <v>94</v>
      </c>
      <c r="G34" t="s">
        <v>147</v>
      </c>
      <c r="H34">
        <v>-50</v>
      </c>
      <c r="I34" t="s">
        <v>137</v>
      </c>
      <c r="J34">
        <v>50000</v>
      </c>
    </row>
    <row r="35" spans="2:10" x14ac:dyDescent="0.2">
      <c r="B35" s="1">
        <v>46084</v>
      </c>
      <c r="C35" t="s">
        <v>148</v>
      </c>
      <c r="D35" t="s">
        <v>94</v>
      </c>
      <c r="G35" t="s">
        <v>149</v>
      </c>
      <c r="H35">
        <v>-40</v>
      </c>
      <c r="I35" t="s">
        <v>137</v>
      </c>
      <c r="J35">
        <v>40000</v>
      </c>
    </row>
    <row r="36" spans="2:10" x14ac:dyDescent="0.2">
      <c r="B36" s="1">
        <v>46084</v>
      </c>
      <c r="C36" t="s">
        <v>150</v>
      </c>
      <c r="D36" t="s">
        <v>89</v>
      </c>
      <c r="G36" t="s">
        <v>151</v>
      </c>
      <c r="H36">
        <v>79.533000000000001</v>
      </c>
      <c r="I36" t="s">
        <v>152</v>
      </c>
      <c r="J36">
        <v>79533</v>
      </c>
    </row>
    <row r="37" spans="2:10" x14ac:dyDescent="0.2">
      <c r="B37" s="1">
        <v>46084</v>
      </c>
      <c r="C37" t="s">
        <v>153</v>
      </c>
      <c r="D37" t="s">
        <v>89</v>
      </c>
      <c r="G37" t="s">
        <v>154</v>
      </c>
      <c r="H37">
        <v>220</v>
      </c>
      <c r="I37" t="s">
        <v>152</v>
      </c>
      <c r="J37">
        <v>220000</v>
      </c>
    </row>
    <row r="38" spans="2:10" x14ac:dyDescent="0.2">
      <c r="B38" s="1">
        <v>46084</v>
      </c>
      <c r="C38" t="s">
        <v>155</v>
      </c>
      <c r="D38" t="s">
        <v>94</v>
      </c>
      <c r="G38" t="s">
        <v>156</v>
      </c>
      <c r="H38">
        <v>-12.032999999999999</v>
      </c>
      <c r="I38" t="s">
        <v>137</v>
      </c>
      <c r="J38">
        <v>12033</v>
      </c>
    </row>
    <row r="39" spans="2:10" x14ac:dyDescent="0.2">
      <c r="B39" s="1">
        <v>46084</v>
      </c>
      <c r="C39" t="s">
        <v>88</v>
      </c>
      <c r="D39" t="s">
        <v>94</v>
      </c>
      <c r="G39" t="s">
        <v>157</v>
      </c>
      <c r="H39">
        <v>-10</v>
      </c>
      <c r="I39" t="s">
        <v>158</v>
      </c>
      <c r="J39">
        <v>10000</v>
      </c>
    </row>
    <row r="40" spans="2:10" x14ac:dyDescent="0.2">
      <c r="B40" s="1">
        <v>46084</v>
      </c>
      <c r="C40" t="s">
        <v>159</v>
      </c>
      <c r="D40" t="s">
        <v>94</v>
      </c>
      <c r="G40" t="s">
        <v>160</v>
      </c>
      <c r="H40">
        <v>-600</v>
      </c>
      <c r="I40" t="s">
        <v>161</v>
      </c>
      <c r="J40">
        <v>600</v>
      </c>
    </row>
    <row r="41" spans="2:10" x14ac:dyDescent="0.2">
      <c r="B41" s="1">
        <v>46085</v>
      </c>
      <c r="C41" t="s">
        <v>107</v>
      </c>
      <c r="D41" t="s">
        <v>89</v>
      </c>
      <c r="G41" t="s">
        <v>162</v>
      </c>
      <c r="H41">
        <v>30</v>
      </c>
      <c r="I41" t="s">
        <v>163</v>
      </c>
      <c r="J41">
        <v>30000</v>
      </c>
    </row>
    <row r="42" spans="2:10" x14ac:dyDescent="0.2">
      <c r="B42" s="1">
        <v>46085</v>
      </c>
      <c r="C42" t="s">
        <v>69</v>
      </c>
      <c r="D42" t="s">
        <v>94</v>
      </c>
      <c r="G42" t="s">
        <v>123</v>
      </c>
      <c r="H42">
        <v>-15</v>
      </c>
      <c r="I42" t="s">
        <v>164</v>
      </c>
      <c r="J42">
        <v>15000</v>
      </c>
    </row>
    <row r="43" spans="2:10" x14ac:dyDescent="0.2">
      <c r="B43" s="1">
        <v>46085</v>
      </c>
      <c r="C43" t="s">
        <v>125</v>
      </c>
      <c r="D43" t="s">
        <v>89</v>
      </c>
      <c r="G43" t="s">
        <v>126</v>
      </c>
      <c r="H43">
        <v>3.47</v>
      </c>
      <c r="I43" t="s">
        <v>165</v>
      </c>
      <c r="J43">
        <v>3470</v>
      </c>
    </row>
    <row r="44" spans="2:10" x14ac:dyDescent="0.2">
      <c r="B44" s="1">
        <v>46085</v>
      </c>
      <c r="C44" t="s">
        <v>142</v>
      </c>
      <c r="D44" t="s">
        <v>94</v>
      </c>
      <c r="G44" t="s">
        <v>166</v>
      </c>
      <c r="H44">
        <v>-1.107</v>
      </c>
      <c r="I44" t="s">
        <v>167</v>
      </c>
      <c r="J44">
        <v>1107</v>
      </c>
    </row>
    <row r="45" spans="2:10" x14ac:dyDescent="0.2">
      <c r="B45" s="1">
        <v>46085</v>
      </c>
      <c r="C45" t="s">
        <v>88</v>
      </c>
      <c r="D45" t="s">
        <v>89</v>
      </c>
      <c r="G45" t="s">
        <v>168</v>
      </c>
      <c r="H45">
        <v>2.226</v>
      </c>
      <c r="I45" t="s">
        <v>169</v>
      </c>
      <c r="J45">
        <v>2226.4</v>
      </c>
    </row>
    <row r="46" spans="2:10" x14ac:dyDescent="0.2">
      <c r="B46" s="1">
        <v>46086</v>
      </c>
      <c r="C46" t="s">
        <v>170</v>
      </c>
      <c r="D46" t="s">
        <v>94</v>
      </c>
      <c r="G46" t="s">
        <v>171</v>
      </c>
      <c r="H46">
        <v>-4</v>
      </c>
      <c r="I46" t="s">
        <v>137</v>
      </c>
      <c r="J46">
        <v>4000</v>
      </c>
    </row>
    <row r="47" spans="2:10" x14ac:dyDescent="0.2">
      <c r="B47" s="1">
        <v>46086</v>
      </c>
      <c r="C47" t="s">
        <v>170</v>
      </c>
      <c r="D47" t="s">
        <v>94</v>
      </c>
      <c r="G47" t="s">
        <v>172</v>
      </c>
      <c r="H47">
        <v>-11</v>
      </c>
      <c r="I47" t="s">
        <v>173</v>
      </c>
      <c r="J47">
        <v>11000</v>
      </c>
    </row>
    <row r="48" spans="2:10" x14ac:dyDescent="0.2">
      <c r="B48" s="1">
        <v>46086</v>
      </c>
      <c r="C48" t="s">
        <v>21</v>
      </c>
      <c r="D48" t="s">
        <v>94</v>
      </c>
      <c r="G48" t="s">
        <v>174</v>
      </c>
      <c r="H48">
        <v>-155.12799999999999</v>
      </c>
      <c r="I48" t="s">
        <v>175</v>
      </c>
      <c r="J48">
        <v>155128</v>
      </c>
    </row>
    <row r="49" spans="2:10" x14ac:dyDescent="0.2">
      <c r="B49" s="1">
        <v>46086</v>
      </c>
      <c r="C49" t="s">
        <v>176</v>
      </c>
      <c r="D49" t="s">
        <v>89</v>
      </c>
      <c r="G49" t="s">
        <v>177</v>
      </c>
      <c r="H49">
        <v>153.565</v>
      </c>
      <c r="I49" t="s">
        <v>178</v>
      </c>
      <c r="J49">
        <v>153565</v>
      </c>
    </row>
    <row r="50" spans="2:10" x14ac:dyDescent="0.2">
      <c r="B50" s="1">
        <v>46086</v>
      </c>
      <c r="C50" t="s">
        <v>21</v>
      </c>
      <c r="D50" t="s">
        <v>89</v>
      </c>
      <c r="G50" t="s">
        <v>179</v>
      </c>
      <c r="H50">
        <v>15.05</v>
      </c>
      <c r="I50" t="s">
        <v>180</v>
      </c>
      <c r="J50">
        <v>15050</v>
      </c>
    </row>
    <row r="51" spans="2:10" x14ac:dyDescent="0.2">
      <c r="B51" s="1">
        <v>46086</v>
      </c>
      <c r="C51" t="s">
        <v>176</v>
      </c>
      <c r="D51" t="s">
        <v>94</v>
      </c>
      <c r="G51" t="s">
        <v>123</v>
      </c>
      <c r="H51">
        <v>-15</v>
      </c>
      <c r="I51" t="s">
        <v>181</v>
      </c>
      <c r="J51">
        <v>15000</v>
      </c>
    </row>
    <row r="52" spans="2:10" x14ac:dyDescent="0.2">
      <c r="B52" s="1">
        <v>46086</v>
      </c>
      <c r="C52" t="s">
        <v>144</v>
      </c>
      <c r="D52" t="s">
        <v>89</v>
      </c>
      <c r="G52" t="s">
        <v>171</v>
      </c>
      <c r="H52">
        <v>4</v>
      </c>
      <c r="J52">
        <v>4000</v>
      </c>
    </row>
    <row r="53" spans="2:10" x14ac:dyDescent="0.2">
      <c r="B53" s="1">
        <v>46086</v>
      </c>
      <c r="C53" t="s">
        <v>31</v>
      </c>
      <c r="D53" t="s">
        <v>89</v>
      </c>
      <c r="G53" t="s">
        <v>182</v>
      </c>
      <c r="H53">
        <v>14.795</v>
      </c>
      <c r="I53" t="s">
        <v>183</v>
      </c>
      <c r="J53">
        <v>14795</v>
      </c>
    </row>
    <row r="54" spans="2:10" x14ac:dyDescent="0.2">
      <c r="B54" s="1">
        <v>46086</v>
      </c>
      <c r="C54" t="s">
        <v>31</v>
      </c>
      <c r="D54" t="s">
        <v>94</v>
      </c>
      <c r="G54" t="s">
        <v>184</v>
      </c>
      <c r="H54">
        <v>-14.8</v>
      </c>
      <c r="I54" t="s">
        <v>185</v>
      </c>
      <c r="J54">
        <v>14800</v>
      </c>
    </row>
    <row r="55" spans="2:10" x14ac:dyDescent="0.2">
      <c r="B55" s="1">
        <v>46086</v>
      </c>
      <c r="C55" t="s">
        <v>159</v>
      </c>
      <c r="D55" t="s">
        <v>89</v>
      </c>
      <c r="G55" t="s">
        <v>160</v>
      </c>
      <c r="H55">
        <v>600</v>
      </c>
      <c r="I55" t="s">
        <v>186</v>
      </c>
      <c r="J55">
        <v>600</v>
      </c>
    </row>
    <row r="56" spans="2:10" x14ac:dyDescent="0.2">
      <c r="B56" s="1">
        <v>46086</v>
      </c>
      <c r="C56" t="s">
        <v>187</v>
      </c>
      <c r="D56" t="s">
        <v>94</v>
      </c>
      <c r="G56" t="s">
        <v>188</v>
      </c>
      <c r="H56">
        <v>-1.9</v>
      </c>
      <c r="I56" t="s">
        <v>189</v>
      </c>
      <c r="J56">
        <v>1900</v>
      </c>
    </row>
    <row r="57" spans="2:10" x14ac:dyDescent="0.2">
      <c r="B57" s="1">
        <v>46086</v>
      </c>
      <c r="C57" t="s">
        <v>142</v>
      </c>
      <c r="D57" t="s">
        <v>94</v>
      </c>
      <c r="G57" t="s">
        <v>141</v>
      </c>
      <c r="H57">
        <v>-2</v>
      </c>
      <c r="I57" t="s">
        <v>190</v>
      </c>
      <c r="J57">
        <v>2000</v>
      </c>
    </row>
    <row r="58" spans="2:10" x14ac:dyDescent="0.2">
      <c r="B58" s="1">
        <v>46086</v>
      </c>
      <c r="C58" t="s">
        <v>191</v>
      </c>
      <c r="D58" t="s">
        <v>89</v>
      </c>
      <c r="G58" t="s">
        <v>192</v>
      </c>
      <c r="H58">
        <v>2.2999999999999998</v>
      </c>
      <c r="I58" t="s">
        <v>193</v>
      </c>
      <c r="J58">
        <v>2300</v>
      </c>
    </row>
    <row r="59" spans="2:10" x14ac:dyDescent="0.2">
      <c r="B59" s="1">
        <v>46086</v>
      </c>
      <c r="C59" t="s">
        <v>191</v>
      </c>
      <c r="D59" t="s">
        <v>89</v>
      </c>
      <c r="G59" t="s">
        <v>194</v>
      </c>
      <c r="H59">
        <v>1.873</v>
      </c>
      <c r="I59" t="s">
        <v>195</v>
      </c>
      <c r="J59">
        <v>1873</v>
      </c>
    </row>
    <row r="60" spans="2:10" x14ac:dyDescent="0.2">
      <c r="B60" s="1">
        <v>46086</v>
      </c>
      <c r="C60" t="s">
        <v>144</v>
      </c>
      <c r="D60" t="s">
        <v>89</v>
      </c>
      <c r="G60" t="s">
        <v>196</v>
      </c>
      <c r="H60">
        <v>6.85</v>
      </c>
      <c r="I60" t="s">
        <v>197</v>
      </c>
      <c r="J60">
        <v>6850</v>
      </c>
    </row>
    <row r="61" spans="2:10" x14ac:dyDescent="0.2">
      <c r="B61" s="1">
        <v>46086</v>
      </c>
      <c r="C61" t="s">
        <v>155</v>
      </c>
      <c r="D61" t="s">
        <v>89</v>
      </c>
      <c r="G61" t="s">
        <v>141</v>
      </c>
      <c r="H61">
        <v>2</v>
      </c>
      <c r="I61" t="s">
        <v>198</v>
      </c>
      <c r="J61">
        <v>2000</v>
      </c>
    </row>
    <row r="62" spans="2:10" x14ac:dyDescent="0.2">
      <c r="B62" s="1">
        <v>46086</v>
      </c>
      <c r="C62" t="s">
        <v>170</v>
      </c>
      <c r="D62" t="s">
        <v>89</v>
      </c>
      <c r="G62" t="s">
        <v>199</v>
      </c>
      <c r="H62">
        <v>52</v>
      </c>
      <c r="I62" t="s">
        <v>200</v>
      </c>
      <c r="J62">
        <v>52000</v>
      </c>
    </row>
    <row r="63" spans="2:10" x14ac:dyDescent="0.2">
      <c r="B63" s="1">
        <v>46086</v>
      </c>
      <c r="C63" t="s">
        <v>150</v>
      </c>
      <c r="D63" t="s">
        <v>94</v>
      </c>
      <c r="G63" t="s">
        <v>201</v>
      </c>
      <c r="H63">
        <v>-343</v>
      </c>
      <c r="I63" t="s">
        <v>202</v>
      </c>
      <c r="J63">
        <v>343</v>
      </c>
    </row>
    <row r="64" spans="2:10" x14ac:dyDescent="0.2">
      <c r="B64" s="1">
        <v>46087</v>
      </c>
      <c r="C64" t="s">
        <v>107</v>
      </c>
      <c r="D64" t="s">
        <v>94</v>
      </c>
      <c r="G64" t="s">
        <v>203</v>
      </c>
      <c r="H64">
        <v>-40.6</v>
      </c>
      <c r="I64" t="s">
        <v>204</v>
      </c>
      <c r="J64">
        <v>40600</v>
      </c>
    </row>
    <row r="65" spans="2:10" x14ac:dyDescent="0.2">
      <c r="B65" s="1">
        <v>46087</v>
      </c>
      <c r="C65" t="s">
        <v>21</v>
      </c>
      <c r="D65" t="s">
        <v>89</v>
      </c>
      <c r="G65" t="s">
        <v>205</v>
      </c>
      <c r="H65">
        <v>40.049999999999997</v>
      </c>
      <c r="I65" t="s">
        <v>206</v>
      </c>
      <c r="J65">
        <v>40050</v>
      </c>
    </row>
    <row r="66" spans="2:10" x14ac:dyDescent="0.2">
      <c r="B66" s="1">
        <v>46087</v>
      </c>
      <c r="C66" t="s">
        <v>207</v>
      </c>
      <c r="D66" t="s">
        <v>89</v>
      </c>
      <c r="G66" t="s">
        <v>208</v>
      </c>
      <c r="H66">
        <v>15.3</v>
      </c>
      <c r="I66" t="s">
        <v>209</v>
      </c>
      <c r="J66">
        <v>15300</v>
      </c>
    </row>
    <row r="67" spans="2:10" x14ac:dyDescent="0.2">
      <c r="B67" s="1">
        <v>46087</v>
      </c>
      <c r="C67" t="s">
        <v>191</v>
      </c>
      <c r="D67" t="s">
        <v>94</v>
      </c>
      <c r="G67" t="s">
        <v>210</v>
      </c>
      <c r="H67">
        <v>-9.5299999999999994</v>
      </c>
      <c r="I67" t="s">
        <v>211</v>
      </c>
      <c r="J67">
        <v>9530</v>
      </c>
    </row>
    <row r="68" spans="2:10" x14ac:dyDescent="0.2">
      <c r="B68" s="1">
        <v>46087</v>
      </c>
      <c r="C68" t="s">
        <v>212</v>
      </c>
      <c r="D68" t="s">
        <v>89</v>
      </c>
      <c r="G68" t="s">
        <v>210</v>
      </c>
      <c r="H68">
        <v>9.5299999999999994</v>
      </c>
      <c r="I68" t="s">
        <v>213</v>
      </c>
      <c r="J68">
        <v>9530</v>
      </c>
    </row>
    <row r="69" spans="2:10" x14ac:dyDescent="0.2">
      <c r="B69" s="1">
        <v>46087</v>
      </c>
      <c r="C69" t="s">
        <v>212</v>
      </c>
      <c r="D69" t="s">
        <v>89</v>
      </c>
      <c r="G69" t="s">
        <v>214</v>
      </c>
      <c r="H69">
        <v>1.4</v>
      </c>
      <c r="I69" t="s">
        <v>215</v>
      </c>
      <c r="J69">
        <v>1400</v>
      </c>
    </row>
    <row r="70" spans="2:10" x14ac:dyDescent="0.2">
      <c r="B70" s="1">
        <v>46087</v>
      </c>
      <c r="C70" t="s">
        <v>216</v>
      </c>
      <c r="D70" t="s">
        <v>94</v>
      </c>
      <c r="G70" t="s">
        <v>113</v>
      </c>
      <c r="H70">
        <v>-1.5</v>
      </c>
      <c r="I70" t="s">
        <v>217</v>
      </c>
      <c r="J70">
        <v>1500</v>
      </c>
    </row>
    <row r="71" spans="2:10" x14ac:dyDescent="0.2">
      <c r="B71" s="1">
        <v>46087</v>
      </c>
      <c r="C71" t="s">
        <v>142</v>
      </c>
      <c r="D71" t="s">
        <v>89</v>
      </c>
      <c r="G71" t="s">
        <v>218</v>
      </c>
      <c r="H71">
        <v>3.9910000000000001</v>
      </c>
      <c r="I71" t="s">
        <v>219</v>
      </c>
      <c r="J71">
        <v>3991</v>
      </c>
    </row>
    <row r="72" spans="2:10" x14ac:dyDescent="0.2">
      <c r="B72" s="1">
        <v>46087</v>
      </c>
      <c r="C72" t="s">
        <v>170</v>
      </c>
      <c r="D72" t="s">
        <v>89</v>
      </c>
      <c r="G72" t="s">
        <v>147</v>
      </c>
      <c r="H72">
        <v>50</v>
      </c>
      <c r="I72" t="s">
        <v>220</v>
      </c>
      <c r="J72">
        <v>50000</v>
      </c>
    </row>
    <row r="73" spans="2:10" x14ac:dyDescent="0.2">
      <c r="B73" s="1">
        <v>46087</v>
      </c>
      <c r="C73" t="s">
        <v>221</v>
      </c>
      <c r="D73" t="s">
        <v>89</v>
      </c>
      <c r="G73" t="s">
        <v>222</v>
      </c>
      <c r="H73">
        <v>5.0999999999999996</v>
      </c>
      <c r="I73" t="s">
        <v>223</v>
      </c>
      <c r="J73">
        <v>5100</v>
      </c>
    </row>
    <row r="74" spans="2:10" x14ac:dyDescent="0.2">
      <c r="B74" s="1">
        <v>46087</v>
      </c>
      <c r="C74" t="s">
        <v>31</v>
      </c>
      <c r="D74" t="s">
        <v>94</v>
      </c>
      <c r="G74" t="s">
        <v>224</v>
      </c>
      <c r="H74">
        <v>-4.7</v>
      </c>
      <c r="I74" t="s">
        <v>225</v>
      </c>
      <c r="J74">
        <v>4700</v>
      </c>
    </row>
    <row r="75" spans="2:10" x14ac:dyDescent="0.2">
      <c r="B75" s="1">
        <v>46087</v>
      </c>
      <c r="C75" t="s">
        <v>21</v>
      </c>
      <c r="D75" t="s">
        <v>89</v>
      </c>
      <c r="G75" t="s">
        <v>226</v>
      </c>
      <c r="H75">
        <v>4.62</v>
      </c>
      <c r="I75" t="s">
        <v>225</v>
      </c>
      <c r="J75">
        <v>4620</v>
      </c>
    </row>
    <row r="76" spans="2:10" x14ac:dyDescent="0.2">
      <c r="B76" s="1">
        <v>46087</v>
      </c>
      <c r="C76" t="s">
        <v>132</v>
      </c>
      <c r="D76" t="s">
        <v>89</v>
      </c>
      <c r="G76" t="s">
        <v>227</v>
      </c>
      <c r="H76">
        <v>48.35</v>
      </c>
      <c r="I76" t="s">
        <v>228</v>
      </c>
      <c r="J76">
        <v>48350</v>
      </c>
    </row>
    <row r="77" spans="2:10" x14ac:dyDescent="0.2">
      <c r="B77" s="1">
        <v>46087</v>
      </c>
      <c r="C77" t="s">
        <v>21</v>
      </c>
      <c r="D77" t="s">
        <v>89</v>
      </c>
      <c r="G77" t="s">
        <v>179</v>
      </c>
      <c r="H77">
        <v>15.05</v>
      </c>
      <c r="I77" t="s">
        <v>229</v>
      </c>
      <c r="J77">
        <v>15050</v>
      </c>
    </row>
    <row r="78" spans="2:10" x14ac:dyDescent="0.2">
      <c r="B78" s="1">
        <v>46087</v>
      </c>
      <c r="C78" t="s">
        <v>207</v>
      </c>
      <c r="D78" t="s">
        <v>94</v>
      </c>
      <c r="G78" t="s">
        <v>208</v>
      </c>
      <c r="H78">
        <v>-15.3</v>
      </c>
      <c r="I78" t="s">
        <v>230</v>
      </c>
      <c r="J78">
        <v>15300</v>
      </c>
    </row>
    <row r="79" spans="2:10" x14ac:dyDescent="0.2">
      <c r="B79" s="1">
        <v>46087</v>
      </c>
      <c r="C79" t="s">
        <v>170</v>
      </c>
      <c r="D79" t="s">
        <v>94</v>
      </c>
      <c r="G79" t="s">
        <v>147</v>
      </c>
      <c r="H79">
        <v>-50</v>
      </c>
      <c r="I79" t="s">
        <v>231</v>
      </c>
      <c r="J79">
        <v>50000</v>
      </c>
    </row>
    <row r="80" spans="2:10" x14ac:dyDescent="0.2">
      <c r="B80" s="1">
        <v>46090</v>
      </c>
      <c r="C80" t="s">
        <v>216</v>
      </c>
      <c r="D80" t="s">
        <v>89</v>
      </c>
      <c r="G80" t="s">
        <v>113</v>
      </c>
      <c r="H80">
        <v>1.5</v>
      </c>
      <c r="I80" t="s">
        <v>232</v>
      </c>
      <c r="J80">
        <v>1500</v>
      </c>
    </row>
    <row r="81" spans="2:10" x14ac:dyDescent="0.2">
      <c r="B81" s="1">
        <v>46090</v>
      </c>
      <c r="C81" t="s">
        <v>233</v>
      </c>
      <c r="D81" t="s">
        <v>89</v>
      </c>
      <c r="G81" t="s">
        <v>234</v>
      </c>
      <c r="H81">
        <v>5.5</v>
      </c>
      <c r="I81" t="s">
        <v>235</v>
      </c>
      <c r="J81">
        <v>5500</v>
      </c>
    </row>
    <row r="82" spans="2:10" x14ac:dyDescent="0.2">
      <c r="B82" s="1">
        <v>46090</v>
      </c>
      <c r="C82" t="s">
        <v>170</v>
      </c>
      <c r="D82" t="s">
        <v>94</v>
      </c>
      <c r="G82" t="s">
        <v>236</v>
      </c>
      <c r="H82">
        <v>-5</v>
      </c>
      <c r="I82" t="s">
        <v>237</v>
      </c>
      <c r="J82">
        <v>5000</v>
      </c>
    </row>
    <row r="83" spans="2:10" x14ac:dyDescent="0.2">
      <c r="B83" s="1">
        <v>46090</v>
      </c>
      <c r="C83" t="s">
        <v>153</v>
      </c>
      <c r="D83" t="s">
        <v>94</v>
      </c>
      <c r="G83" t="s">
        <v>238</v>
      </c>
      <c r="H83">
        <v>-20</v>
      </c>
      <c r="I83" t="s">
        <v>239</v>
      </c>
      <c r="J83">
        <v>20000</v>
      </c>
    </row>
    <row r="84" spans="2:10" x14ac:dyDescent="0.2">
      <c r="B84" s="1">
        <v>46090</v>
      </c>
      <c r="C84" t="s">
        <v>140</v>
      </c>
      <c r="D84" t="s">
        <v>89</v>
      </c>
      <c r="G84" t="s">
        <v>141</v>
      </c>
      <c r="H84">
        <v>2</v>
      </c>
      <c r="I84" t="s">
        <v>240</v>
      </c>
      <c r="J84">
        <v>2000</v>
      </c>
    </row>
    <row r="85" spans="2:10" x14ac:dyDescent="0.2">
      <c r="B85" s="1">
        <v>46090</v>
      </c>
      <c r="C85" t="s">
        <v>176</v>
      </c>
      <c r="D85" t="s">
        <v>94</v>
      </c>
      <c r="G85" t="s">
        <v>241</v>
      </c>
      <c r="H85">
        <v>-138.57</v>
      </c>
      <c r="I85" t="s">
        <v>242</v>
      </c>
      <c r="J85">
        <v>138570</v>
      </c>
    </row>
    <row r="86" spans="2:10" x14ac:dyDescent="0.2">
      <c r="B86" s="1">
        <v>46090</v>
      </c>
      <c r="C86" t="s">
        <v>132</v>
      </c>
      <c r="D86" t="s">
        <v>89</v>
      </c>
      <c r="G86" t="s">
        <v>243</v>
      </c>
      <c r="H86">
        <v>47.4</v>
      </c>
      <c r="I86" t="s">
        <v>244</v>
      </c>
      <c r="J86">
        <v>47400</v>
      </c>
    </row>
    <row r="87" spans="2:10" x14ac:dyDescent="0.2">
      <c r="B87" s="1">
        <v>46090</v>
      </c>
      <c r="C87" t="s">
        <v>170</v>
      </c>
      <c r="D87" t="s">
        <v>94</v>
      </c>
      <c r="G87" t="s">
        <v>199</v>
      </c>
      <c r="H87">
        <v>-52</v>
      </c>
      <c r="I87" t="s">
        <v>245</v>
      </c>
      <c r="J87">
        <v>52000</v>
      </c>
    </row>
    <row r="88" spans="2:10" x14ac:dyDescent="0.2">
      <c r="B88" s="1">
        <v>46090</v>
      </c>
      <c r="C88" t="s">
        <v>233</v>
      </c>
      <c r="D88" t="s">
        <v>89</v>
      </c>
      <c r="G88" t="s">
        <v>246</v>
      </c>
      <c r="H88">
        <v>7.3150000000000004</v>
      </c>
      <c r="I88" t="s">
        <v>247</v>
      </c>
      <c r="J88">
        <v>7315</v>
      </c>
    </row>
    <row r="89" spans="2:10" x14ac:dyDescent="0.2">
      <c r="B89" s="1">
        <v>46090</v>
      </c>
      <c r="C89" t="s">
        <v>233</v>
      </c>
      <c r="D89" t="s">
        <v>94</v>
      </c>
      <c r="G89" t="s">
        <v>248</v>
      </c>
      <c r="H89">
        <v>-12.815</v>
      </c>
      <c r="I89" t="s">
        <v>249</v>
      </c>
      <c r="J89">
        <v>12815</v>
      </c>
    </row>
    <row r="90" spans="2:10" x14ac:dyDescent="0.2">
      <c r="B90" s="1">
        <v>46090</v>
      </c>
      <c r="C90" t="s">
        <v>21</v>
      </c>
      <c r="D90" t="s">
        <v>89</v>
      </c>
      <c r="G90" t="s">
        <v>250</v>
      </c>
      <c r="H90">
        <v>12.686</v>
      </c>
      <c r="I90" t="s">
        <v>251</v>
      </c>
      <c r="J90">
        <v>12686</v>
      </c>
    </row>
    <row r="91" spans="2:10" x14ac:dyDescent="0.2">
      <c r="B91" s="1">
        <v>46090</v>
      </c>
      <c r="C91" t="s">
        <v>170</v>
      </c>
      <c r="D91" t="s">
        <v>89</v>
      </c>
      <c r="G91" t="s">
        <v>238</v>
      </c>
      <c r="H91">
        <v>20</v>
      </c>
      <c r="I91" t="s">
        <v>252</v>
      </c>
      <c r="J91">
        <v>20000</v>
      </c>
    </row>
    <row r="92" spans="2:10" x14ac:dyDescent="0.2">
      <c r="B92" s="1">
        <v>46090</v>
      </c>
      <c r="C92" t="s">
        <v>88</v>
      </c>
      <c r="D92" t="s">
        <v>89</v>
      </c>
      <c r="G92" t="s">
        <v>253</v>
      </c>
      <c r="H92">
        <v>2.0409999999999999</v>
      </c>
      <c r="I92" t="s">
        <v>254</v>
      </c>
      <c r="J92">
        <v>2041</v>
      </c>
    </row>
    <row r="93" spans="2:10" x14ac:dyDescent="0.2">
      <c r="B93" s="1">
        <v>46090</v>
      </c>
      <c r="C93" t="s">
        <v>255</v>
      </c>
      <c r="D93" t="s">
        <v>94</v>
      </c>
      <c r="G93" t="s">
        <v>256</v>
      </c>
      <c r="H93">
        <v>-2.1</v>
      </c>
      <c r="I93" t="s">
        <v>257</v>
      </c>
      <c r="J93">
        <v>2100</v>
      </c>
    </row>
    <row r="94" spans="2:10" x14ac:dyDescent="0.2">
      <c r="B94" s="1">
        <v>46090</v>
      </c>
      <c r="C94" t="s">
        <v>125</v>
      </c>
      <c r="D94" t="s">
        <v>94</v>
      </c>
      <c r="G94" t="s">
        <v>258</v>
      </c>
      <c r="H94">
        <v>-1.2</v>
      </c>
      <c r="I94" t="s">
        <v>259</v>
      </c>
      <c r="J94">
        <v>1200</v>
      </c>
    </row>
    <row r="95" spans="2:10" x14ac:dyDescent="0.2">
      <c r="B95" s="1">
        <v>46090</v>
      </c>
      <c r="C95" t="s">
        <v>132</v>
      </c>
      <c r="D95" t="s">
        <v>94</v>
      </c>
      <c r="G95" t="s">
        <v>157</v>
      </c>
      <c r="H95">
        <v>-10</v>
      </c>
      <c r="I95" t="s">
        <v>260</v>
      </c>
      <c r="J95">
        <v>10000</v>
      </c>
    </row>
    <row r="96" spans="2:10" x14ac:dyDescent="0.2">
      <c r="B96" s="1">
        <v>46091</v>
      </c>
      <c r="C96" t="s">
        <v>21</v>
      </c>
      <c r="D96" t="s">
        <v>89</v>
      </c>
      <c r="G96" t="s">
        <v>261</v>
      </c>
      <c r="H96">
        <v>72.05</v>
      </c>
      <c r="I96" t="s">
        <v>262</v>
      </c>
      <c r="J96">
        <v>72050</v>
      </c>
    </row>
    <row r="97" spans="2:10" x14ac:dyDescent="0.2">
      <c r="B97" s="1">
        <v>46091</v>
      </c>
      <c r="C97" t="s">
        <v>263</v>
      </c>
      <c r="D97" t="s">
        <v>94</v>
      </c>
      <c r="G97" t="s">
        <v>264</v>
      </c>
      <c r="H97">
        <v>-73.8</v>
      </c>
      <c r="I97" t="s">
        <v>265</v>
      </c>
      <c r="J97">
        <v>73800</v>
      </c>
    </row>
    <row r="98" spans="2:10" x14ac:dyDescent="0.2">
      <c r="B98" s="1">
        <v>46091</v>
      </c>
      <c r="C98" t="s">
        <v>263</v>
      </c>
      <c r="D98" t="s">
        <v>89</v>
      </c>
      <c r="G98" t="s">
        <v>266</v>
      </c>
      <c r="H98">
        <v>70</v>
      </c>
      <c r="I98" t="s">
        <v>267</v>
      </c>
      <c r="J98">
        <v>70000</v>
      </c>
    </row>
    <row r="99" spans="2:10" x14ac:dyDescent="0.2">
      <c r="B99" s="1">
        <v>46091</v>
      </c>
      <c r="C99" t="s">
        <v>268</v>
      </c>
      <c r="D99" t="s">
        <v>94</v>
      </c>
      <c r="G99" t="s">
        <v>269</v>
      </c>
      <c r="H99">
        <v>-22.35</v>
      </c>
      <c r="I99" t="s">
        <v>270</v>
      </c>
      <c r="J99">
        <v>22350</v>
      </c>
    </row>
    <row r="100" spans="2:10" x14ac:dyDescent="0.2">
      <c r="B100" s="1">
        <v>46091</v>
      </c>
      <c r="C100" t="s">
        <v>271</v>
      </c>
      <c r="D100" t="s">
        <v>89</v>
      </c>
      <c r="G100" t="s">
        <v>272</v>
      </c>
      <c r="H100">
        <v>22.13</v>
      </c>
      <c r="I100" t="s">
        <v>273</v>
      </c>
      <c r="J100">
        <v>22130</v>
      </c>
    </row>
    <row r="101" spans="2:10" x14ac:dyDescent="0.2">
      <c r="B101" s="1">
        <v>46091</v>
      </c>
      <c r="C101" t="s">
        <v>110</v>
      </c>
      <c r="D101" t="s">
        <v>94</v>
      </c>
      <c r="G101" t="s">
        <v>274</v>
      </c>
      <c r="H101">
        <v>-2.899</v>
      </c>
      <c r="I101" t="s">
        <v>275</v>
      </c>
      <c r="J101">
        <v>2899</v>
      </c>
    </row>
    <row r="102" spans="2:10" x14ac:dyDescent="0.2">
      <c r="B102" s="1">
        <v>46091</v>
      </c>
      <c r="C102" t="s">
        <v>88</v>
      </c>
      <c r="D102" t="s">
        <v>89</v>
      </c>
      <c r="G102" t="s">
        <v>276</v>
      </c>
      <c r="H102">
        <v>4.8090000000000002</v>
      </c>
      <c r="I102" t="s">
        <v>277</v>
      </c>
      <c r="J102">
        <v>4809</v>
      </c>
    </row>
    <row r="103" spans="2:10" x14ac:dyDescent="0.2">
      <c r="B103" s="1">
        <v>46091</v>
      </c>
      <c r="C103" t="s">
        <v>150</v>
      </c>
      <c r="D103" t="s">
        <v>94</v>
      </c>
      <c r="G103" t="s">
        <v>236</v>
      </c>
      <c r="H103">
        <v>-5</v>
      </c>
      <c r="I103" t="s">
        <v>277</v>
      </c>
      <c r="J103">
        <v>5000</v>
      </c>
    </row>
    <row r="104" spans="2:10" x14ac:dyDescent="0.2">
      <c r="B104" s="1">
        <v>46091</v>
      </c>
      <c r="C104" t="s">
        <v>148</v>
      </c>
      <c r="D104" t="s">
        <v>89</v>
      </c>
      <c r="G104" t="s">
        <v>157</v>
      </c>
      <c r="H104">
        <v>10</v>
      </c>
      <c r="I104" t="s">
        <v>278</v>
      </c>
      <c r="J104">
        <v>10000</v>
      </c>
    </row>
    <row r="105" spans="2:10" x14ac:dyDescent="0.2">
      <c r="B105" s="1">
        <v>46092</v>
      </c>
      <c r="C105" t="s">
        <v>31</v>
      </c>
      <c r="D105" t="s">
        <v>89</v>
      </c>
      <c r="G105" t="s">
        <v>224</v>
      </c>
      <c r="H105">
        <v>4.7</v>
      </c>
      <c r="I105" t="s">
        <v>279</v>
      </c>
      <c r="J105">
        <v>4700</v>
      </c>
    </row>
    <row r="106" spans="2:10" x14ac:dyDescent="0.2">
      <c r="B106" s="1">
        <v>46092</v>
      </c>
      <c r="C106" t="s">
        <v>268</v>
      </c>
      <c r="D106" t="s">
        <v>89</v>
      </c>
      <c r="G106" t="s">
        <v>269</v>
      </c>
      <c r="H106">
        <v>22.35</v>
      </c>
      <c r="I106" t="s">
        <v>273</v>
      </c>
      <c r="J106">
        <v>22350</v>
      </c>
    </row>
    <row r="107" spans="2:10" x14ac:dyDescent="0.2">
      <c r="B107" s="1">
        <v>46092</v>
      </c>
      <c r="C107" t="s">
        <v>132</v>
      </c>
      <c r="D107" t="s">
        <v>94</v>
      </c>
      <c r="G107" t="s">
        <v>280</v>
      </c>
      <c r="H107">
        <v>-65.7</v>
      </c>
      <c r="I107" t="s">
        <v>281</v>
      </c>
      <c r="J107">
        <v>65700</v>
      </c>
    </row>
    <row r="108" spans="2:10" x14ac:dyDescent="0.2">
      <c r="B108" s="1">
        <v>46092</v>
      </c>
      <c r="C108" t="s">
        <v>148</v>
      </c>
      <c r="D108" t="s">
        <v>89</v>
      </c>
      <c r="G108" t="s">
        <v>282</v>
      </c>
      <c r="H108">
        <v>16.876999999999999</v>
      </c>
      <c r="I108" t="s">
        <v>283</v>
      </c>
      <c r="J108">
        <v>16877</v>
      </c>
    </row>
    <row r="109" spans="2:10" x14ac:dyDescent="0.2">
      <c r="B109" s="1">
        <v>46092</v>
      </c>
      <c r="C109" t="s">
        <v>284</v>
      </c>
      <c r="D109" t="s">
        <v>94</v>
      </c>
      <c r="G109" t="s">
        <v>285</v>
      </c>
      <c r="H109">
        <v>-17</v>
      </c>
      <c r="I109" t="s">
        <v>286</v>
      </c>
      <c r="J109">
        <v>17000</v>
      </c>
    </row>
    <row r="110" spans="2:10" x14ac:dyDescent="0.2">
      <c r="B110" s="1">
        <v>46092</v>
      </c>
      <c r="C110" t="s">
        <v>21</v>
      </c>
      <c r="D110" t="s">
        <v>94</v>
      </c>
      <c r="G110" t="s">
        <v>287</v>
      </c>
      <c r="H110">
        <v>-1.4430000000000001</v>
      </c>
      <c r="I110" t="s">
        <v>120</v>
      </c>
      <c r="J110">
        <v>1443</v>
      </c>
    </row>
    <row r="111" spans="2:10" x14ac:dyDescent="0.2">
      <c r="B111" s="1">
        <v>46092</v>
      </c>
      <c r="C111" t="s">
        <v>288</v>
      </c>
      <c r="D111" t="s">
        <v>89</v>
      </c>
      <c r="G111" t="s">
        <v>289</v>
      </c>
      <c r="H111">
        <v>1.3</v>
      </c>
      <c r="I111" t="s">
        <v>290</v>
      </c>
      <c r="J111">
        <v>1300</v>
      </c>
    </row>
    <row r="112" spans="2:10" x14ac:dyDescent="0.2">
      <c r="B112" s="1">
        <v>46092</v>
      </c>
      <c r="C112" t="s">
        <v>288</v>
      </c>
      <c r="D112" t="s">
        <v>94</v>
      </c>
      <c r="G112" t="s">
        <v>289</v>
      </c>
      <c r="H112">
        <v>-1.3</v>
      </c>
      <c r="I112" t="s">
        <v>291</v>
      </c>
      <c r="J112">
        <v>1300</v>
      </c>
    </row>
    <row r="113" spans="2:10" x14ac:dyDescent="0.2">
      <c r="B113" s="1">
        <v>46092</v>
      </c>
      <c r="C113" t="s">
        <v>284</v>
      </c>
      <c r="D113" t="s">
        <v>94</v>
      </c>
      <c r="G113" t="s">
        <v>141</v>
      </c>
      <c r="H113">
        <v>-2</v>
      </c>
      <c r="I113" t="s">
        <v>292</v>
      </c>
      <c r="J113">
        <v>2000</v>
      </c>
    </row>
    <row r="114" spans="2:10" x14ac:dyDescent="0.2">
      <c r="B114" s="1">
        <v>46092</v>
      </c>
      <c r="C114" t="s">
        <v>88</v>
      </c>
      <c r="D114" t="s">
        <v>89</v>
      </c>
      <c r="G114" t="s">
        <v>293</v>
      </c>
      <c r="H114">
        <v>1.8879999999999999</v>
      </c>
      <c r="I114" t="s">
        <v>292</v>
      </c>
      <c r="J114">
        <v>1888</v>
      </c>
    </row>
    <row r="115" spans="2:10" x14ac:dyDescent="0.2">
      <c r="B115" s="1">
        <v>46092</v>
      </c>
      <c r="C115" t="s">
        <v>148</v>
      </c>
      <c r="D115" t="s">
        <v>94</v>
      </c>
      <c r="G115" t="s">
        <v>294</v>
      </c>
      <c r="H115">
        <v>-700</v>
      </c>
      <c r="I115" t="s">
        <v>295</v>
      </c>
      <c r="J115">
        <v>700</v>
      </c>
    </row>
    <row r="116" spans="2:10" x14ac:dyDescent="0.2">
      <c r="B116" s="1">
        <v>46092</v>
      </c>
      <c r="C116" t="s">
        <v>255</v>
      </c>
      <c r="D116" t="s">
        <v>89</v>
      </c>
      <c r="G116" t="s">
        <v>256</v>
      </c>
      <c r="H116">
        <v>2.1</v>
      </c>
      <c r="I116" t="s">
        <v>296</v>
      </c>
      <c r="J116">
        <v>2100</v>
      </c>
    </row>
    <row r="117" spans="2:10" x14ac:dyDescent="0.2">
      <c r="B117" s="1">
        <v>46092</v>
      </c>
      <c r="C117" t="s">
        <v>284</v>
      </c>
      <c r="D117" t="s">
        <v>94</v>
      </c>
      <c r="G117" t="s">
        <v>297</v>
      </c>
      <c r="H117">
        <v>-6.8479999999999999</v>
      </c>
      <c r="I117" t="s">
        <v>298</v>
      </c>
      <c r="J117">
        <v>6848</v>
      </c>
    </row>
    <row r="118" spans="2:10" x14ac:dyDescent="0.2">
      <c r="B118" s="1">
        <v>46093</v>
      </c>
      <c r="C118" t="s">
        <v>299</v>
      </c>
      <c r="D118" t="s">
        <v>94</v>
      </c>
      <c r="G118" t="s">
        <v>300</v>
      </c>
      <c r="H118">
        <v>-300</v>
      </c>
      <c r="I118" t="s">
        <v>301</v>
      </c>
      <c r="J118">
        <v>300</v>
      </c>
    </row>
    <row r="119" spans="2:10" x14ac:dyDescent="0.2">
      <c r="B119" s="1">
        <v>46093</v>
      </c>
      <c r="C119" t="s">
        <v>284</v>
      </c>
      <c r="D119" t="s">
        <v>89</v>
      </c>
      <c r="G119" t="s">
        <v>302</v>
      </c>
      <c r="H119">
        <v>24.5</v>
      </c>
      <c r="I119" t="s">
        <v>303</v>
      </c>
      <c r="J119">
        <v>24500</v>
      </c>
    </row>
    <row r="120" spans="2:10" x14ac:dyDescent="0.2">
      <c r="B120" s="1">
        <v>46093</v>
      </c>
      <c r="C120" t="s">
        <v>150</v>
      </c>
      <c r="D120" t="s">
        <v>94</v>
      </c>
      <c r="G120" t="s">
        <v>304</v>
      </c>
      <c r="H120">
        <v>-332</v>
      </c>
      <c r="I120" t="s">
        <v>305</v>
      </c>
      <c r="J120">
        <v>332</v>
      </c>
    </row>
    <row r="121" spans="2:10" x14ac:dyDescent="0.2">
      <c r="B121" s="1">
        <v>46093</v>
      </c>
      <c r="C121" t="s">
        <v>142</v>
      </c>
      <c r="D121" t="s">
        <v>94</v>
      </c>
      <c r="G121" t="s">
        <v>304</v>
      </c>
      <c r="H121">
        <v>-332</v>
      </c>
      <c r="I121" t="s">
        <v>305</v>
      </c>
      <c r="J121">
        <v>332</v>
      </c>
    </row>
    <row r="122" spans="2:10" x14ac:dyDescent="0.2">
      <c r="B122" s="1">
        <v>46093</v>
      </c>
      <c r="C122" t="s">
        <v>306</v>
      </c>
      <c r="D122" t="s">
        <v>94</v>
      </c>
      <c r="G122" t="s">
        <v>307</v>
      </c>
      <c r="H122">
        <v>-63.637999999999998</v>
      </c>
      <c r="I122" t="s">
        <v>308</v>
      </c>
      <c r="J122">
        <v>63638</v>
      </c>
    </row>
    <row r="123" spans="2:10" x14ac:dyDescent="0.2">
      <c r="B123" s="1">
        <v>46093</v>
      </c>
      <c r="C123" t="s">
        <v>309</v>
      </c>
      <c r="D123" t="s">
        <v>89</v>
      </c>
      <c r="G123" t="s">
        <v>310</v>
      </c>
      <c r="H123">
        <v>62.365000000000002</v>
      </c>
      <c r="I123" t="s">
        <v>311</v>
      </c>
      <c r="J123">
        <v>62365</v>
      </c>
    </row>
    <row r="124" spans="2:10" x14ac:dyDescent="0.2">
      <c r="B124" s="1">
        <v>46093</v>
      </c>
      <c r="C124" t="s">
        <v>309</v>
      </c>
      <c r="D124" t="s">
        <v>89</v>
      </c>
      <c r="G124" t="s">
        <v>312</v>
      </c>
      <c r="H124">
        <v>18.646000000000001</v>
      </c>
      <c r="I124" t="s">
        <v>313</v>
      </c>
      <c r="J124">
        <v>18646</v>
      </c>
    </row>
    <row r="125" spans="2:10" x14ac:dyDescent="0.2">
      <c r="B125" s="1">
        <v>46093</v>
      </c>
      <c r="C125" t="s">
        <v>309</v>
      </c>
      <c r="D125" t="s">
        <v>94</v>
      </c>
      <c r="G125" t="s">
        <v>314</v>
      </c>
      <c r="H125">
        <v>-2.54</v>
      </c>
      <c r="I125" t="s">
        <v>315</v>
      </c>
      <c r="J125">
        <v>2540</v>
      </c>
    </row>
    <row r="126" spans="2:10" x14ac:dyDescent="0.2">
      <c r="B126" s="1">
        <v>46093</v>
      </c>
      <c r="C126" t="s">
        <v>309</v>
      </c>
      <c r="D126" t="s">
        <v>94</v>
      </c>
      <c r="G126" t="s">
        <v>316</v>
      </c>
      <c r="H126">
        <v>-64</v>
      </c>
      <c r="I126" t="s">
        <v>317</v>
      </c>
      <c r="J126">
        <v>64000</v>
      </c>
    </row>
    <row r="127" spans="2:10" x14ac:dyDescent="0.2">
      <c r="B127" s="1">
        <v>46093</v>
      </c>
      <c r="C127" t="s">
        <v>271</v>
      </c>
      <c r="D127" t="s">
        <v>94</v>
      </c>
      <c r="G127" t="s">
        <v>318</v>
      </c>
      <c r="H127">
        <v>-4.07</v>
      </c>
      <c r="I127" t="s">
        <v>319</v>
      </c>
      <c r="J127">
        <v>4070</v>
      </c>
    </row>
    <row r="128" spans="2:10" x14ac:dyDescent="0.2">
      <c r="B128" s="1">
        <v>46093</v>
      </c>
      <c r="C128" t="s">
        <v>320</v>
      </c>
      <c r="D128" t="s">
        <v>89</v>
      </c>
      <c r="G128" t="s">
        <v>321</v>
      </c>
      <c r="H128">
        <v>3.99</v>
      </c>
      <c r="I128" t="s">
        <v>319</v>
      </c>
      <c r="J128">
        <v>3990</v>
      </c>
    </row>
    <row r="129" spans="2:10" x14ac:dyDescent="0.2">
      <c r="B129" s="1">
        <v>46093</v>
      </c>
      <c r="C129" t="s">
        <v>306</v>
      </c>
      <c r="D129" t="s">
        <v>89</v>
      </c>
      <c r="G129" t="s">
        <v>307</v>
      </c>
      <c r="H129">
        <v>63.637999999999998</v>
      </c>
      <c r="I129" t="s">
        <v>322</v>
      </c>
      <c r="J129">
        <v>63638</v>
      </c>
    </row>
    <row r="130" spans="2:10" x14ac:dyDescent="0.2">
      <c r="B130" s="1">
        <v>46093</v>
      </c>
      <c r="C130" t="s">
        <v>148</v>
      </c>
      <c r="D130" t="s">
        <v>94</v>
      </c>
      <c r="G130" t="s">
        <v>282</v>
      </c>
      <c r="H130">
        <v>-16.876999999999999</v>
      </c>
      <c r="I130" t="s">
        <v>323</v>
      </c>
      <c r="J130">
        <v>16877</v>
      </c>
    </row>
    <row r="131" spans="2:10" x14ac:dyDescent="0.2">
      <c r="B131" s="1">
        <v>46094</v>
      </c>
      <c r="C131" t="s">
        <v>88</v>
      </c>
      <c r="D131" t="s">
        <v>94</v>
      </c>
      <c r="G131" t="s">
        <v>324</v>
      </c>
      <c r="H131">
        <v>-4.3559999999999999</v>
      </c>
      <c r="I131" t="s">
        <v>325</v>
      </c>
      <c r="J131">
        <v>4356</v>
      </c>
    </row>
    <row r="132" spans="2:10" x14ac:dyDescent="0.2">
      <c r="B132" s="1">
        <v>46094</v>
      </c>
      <c r="C132" t="s">
        <v>21</v>
      </c>
      <c r="D132" t="s">
        <v>89</v>
      </c>
      <c r="G132" t="s">
        <v>326</v>
      </c>
      <c r="H132">
        <v>4.25</v>
      </c>
      <c r="I132" t="s">
        <v>327</v>
      </c>
      <c r="J132">
        <v>4250</v>
      </c>
    </row>
    <row r="133" spans="2:10" x14ac:dyDescent="0.2">
      <c r="B133" s="1">
        <v>46097</v>
      </c>
      <c r="C133" t="s">
        <v>328</v>
      </c>
      <c r="D133" t="s">
        <v>94</v>
      </c>
      <c r="G133" t="s">
        <v>329</v>
      </c>
      <c r="H133">
        <v>-1.94</v>
      </c>
      <c r="I133" t="s">
        <v>330</v>
      </c>
      <c r="J133">
        <v>1940</v>
      </c>
    </row>
    <row r="134" spans="2:10" x14ac:dyDescent="0.2">
      <c r="B134" s="1">
        <v>46097</v>
      </c>
      <c r="C134" t="s">
        <v>21</v>
      </c>
      <c r="D134" t="s">
        <v>94</v>
      </c>
      <c r="G134" t="s">
        <v>329</v>
      </c>
      <c r="H134">
        <v>-1.94</v>
      </c>
      <c r="I134" t="s">
        <v>331</v>
      </c>
      <c r="J134">
        <v>1940</v>
      </c>
    </row>
    <row r="135" spans="2:10" x14ac:dyDescent="0.2">
      <c r="B135" s="1">
        <v>46097</v>
      </c>
      <c r="C135" t="s">
        <v>328</v>
      </c>
      <c r="D135" t="s">
        <v>89</v>
      </c>
      <c r="G135" t="s">
        <v>329</v>
      </c>
      <c r="H135">
        <v>1.94</v>
      </c>
      <c r="I135" t="s">
        <v>332</v>
      </c>
      <c r="J135">
        <v>1940</v>
      </c>
    </row>
    <row r="136" spans="2:10" x14ac:dyDescent="0.2">
      <c r="B136" s="1">
        <v>46097</v>
      </c>
      <c r="C136" t="s">
        <v>333</v>
      </c>
      <c r="D136" t="s">
        <v>89</v>
      </c>
      <c r="G136" t="s">
        <v>334</v>
      </c>
      <c r="H136">
        <v>2.5</v>
      </c>
      <c r="I136" t="s">
        <v>335</v>
      </c>
      <c r="J136">
        <v>2500</v>
      </c>
    </row>
    <row r="137" spans="2:10" x14ac:dyDescent="0.2">
      <c r="B137" s="1">
        <v>46097</v>
      </c>
      <c r="C137" t="s">
        <v>336</v>
      </c>
      <c r="D137" t="s">
        <v>89</v>
      </c>
      <c r="G137" t="s">
        <v>337</v>
      </c>
      <c r="H137">
        <v>941</v>
      </c>
      <c r="I137" t="s">
        <v>338</v>
      </c>
      <c r="J137">
        <v>941</v>
      </c>
    </row>
    <row r="138" spans="2:10" x14ac:dyDescent="0.2">
      <c r="B138" s="1">
        <v>46097</v>
      </c>
      <c r="C138" t="s">
        <v>88</v>
      </c>
      <c r="D138" t="s">
        <v>94</v>
      </c>
      <c r="G138" t="s">
        <v>337</v>
      </c>
      <c r="H138">
        <v>-941</v>
      </c>
      <c r="I138" t="s">
        <v>339</v>
      </c>
      <c r="J138">
        <v>941</v>
      </c>
    </row>
    <row r="139" spans="2:10" x14ac:dyDescent="0.2">
      <c r="B139" s="1">
        <v>46097</v>
      </c>
      <c r="C139" t="s">
        <v>320</v>
      </c>
      <c r="D139" t="s">
        <v>94</v>
      </c>
      <c r="G139" t="s">
        <v>321</v>
      </c>
      <c r="H139">
        <v>-3.99</v>
      </c>
      <c r="I139" t="s">
        <v>340</v>
      </c>
      <c r="J139">
        <v>3990</v>
      </c>
    </row>
    <row r="140" spans="2:10" x14ac:dyDescent="0.2">
      <c r="B140" s="1">
        <v>46097</v>
      </c>
      <c r="C140" t="s">
        <v>31</v>
      </c>
      <c r="D140" t="s">
        <v>94</v>
      </c>
      <c r="G140" t="s">
        <v>341</v>
      </c>
      <c r="H140">
        <v>-5.04</v>
      </c>
      <c r="I140" t="s">
        <v>342</v>
      </c>
      <c r="J140">
        <v>5040</v>
      </c>
    </row>
    <row r="141" spans="2:10" x14ac:dyDescent="0.2">
      <c r="B141" s="1">
        <v>46097</v>
      </c>
      <c r="C141" t="s">
        <v>170</v>
      </c>
      <c r="D141" t="s">
        <v>94</v>
      </c>
      <c r="G141" t="s">
        <v>157</v>
      </c>
      <c r="H141">
        <v>-10</v>
      </c>
      <c r="I141" t="s">
        <v>343</v>
      </c>
      <c r="J141">
        <v>10000</v>
      </c>
    </row>
    <row r="142" spans="2:10" x14ac:dyDescent="0.2">
      <c r="B142" s="1">
        <v>46097</v>
      </c>
      <c r="C142" t="s">
        <v>170</v>
      </c>
      <c r="D142" t="s">
        <v>89</v>
      </c>
      <c r="G142" t="s">
        <v>157</v>
      </c>
      <c r="H142">
        <v>10</v>
      </c>
      <c r="I142" t="s">
        <v>340</v>
      </c>
      <c r="J142">
        <v>10000</v>
      </c>
    </row>
    <row r="143" spans="2:10" x14ac:dyDescent="0.2">
      <c r="B143" s="1">
        <v>46097</v>
      </c>
      <c r="C143" t="s">
        <v>344</v>
      </c>
      <c r="D143" t="s">
        <v>94</v>
      </c>
      <c r="G143" t="s">
        <v>162</v>
      </c>
      <c r="H143">
        <v>-30</v>
      </c>
      <c r="I143" t="s">
        <v>345</v>
      </c>
      <c r="J143">
        <v>30000</v>
      </c>
    </row>
    <row r="144" spans="2:10" x14ac:dyDescent="0.2">
      <c r="B144" s="1">
        <v>46097</v>
      </c>
      <c r="C144" t="s">
        <v>148</v>
      </c>
      <c r="D144" t="s">
        <v>89</v>
      </c>
      <c r="G144" t="s">
        <v>294</v>
      </c>
      <c r="H144">
        <v>700</v>
      </c>
      <c r="I144" t="s">
        <v>346</v>
      </c>
      <c r="J144">
        <v>700</v>
      </c>
    </row>
    <row r="145" spans="2:10" x14ac:dyDescent="0.2">
      <c r="B145" s="1">
        <v>46097</v>
      </c>
      <c r="C145" t="s">
        <v>21</v>
      </c>
      <c r="D145" t="s">
        <v>94</v>
      </c>
      <c r="G145" t="s">
        <v>347</v>
      </c>
      <c r="H145">
        <v>-5.1100000000000003</v>
      </c>
      <c r="I145" t="s">
        <v>348</v>
      </c>
      <c r="J145">
        <v>5110</v>
      </c>
    </row>
    <row r="146" spans="2:10" x14ac:dyDescent="0.2">
      <c r="B146" s="1">
        <v>46097</v>
      </c>
      <c r="C146" t="s">
        <v>31</v>
      </c>
      <c r="D146" t="s">
        <v>89</v>
      </c>
      <c r="G146" t="s">
        <v>349</v>
      </c>
      <c r="H146">
        <v>5.0449999999999999</v>
      </c>
      <c r="I146" t="s">
        <v>350</v>
      </c>
      <c r="J146">
        <v>5045</v>
      </c>
    </row>
    <row r="147" spans="2:10" x14ac:dyDescent="0.2">
      <c r="B147" s="1">
        <v>46097</v>
      </c>
      <c r="C147" t="s">
        <v>221</v>
      </c>
      <c r="D147" t="s">
        <v>89</v>
      </c>
      <c r="G147" t="s">
        <v>351</v>
      </c>
      <c r="H147">
        <v>4.2</v>
      </c>
      <c r="I147" t="s">
        <v>352</v>
      </c>
      <c r="J147">
        <v>4200</v>
      </c>
    </row>
    <row r="148" spans="2:10" x14ac:dyDescent="0.2">
      <c r="B148" s="1">
        <v>46097</v>
      </c>
      <c r="C148" t="s">
        <v>221</v>
      </c>
      <c r="D148" t="s">
        <v>94</v>
      </c>
      <c r="G148" t="s">
        <v>353</v>
      </c>
      <c r="H148">
        <v>-9.3000000000000007</v>
      </c>
      <c r="I148" t="s">
        <v>354</v>
      </c>
      <c r="J148">
        <v>9300</v>
      </c>
    </row>
    <row r="149" spans="2:10" x14ac:dyDescent="0.2">
      <c r="B149" s="1">
        <v>46097</v>
      </c>
      <c r="C149" t="s">
        <v>21</v>
      </c>
      <c r="D149" t="s">
        <v>89</v>
      </c>
      <c r="G149" t="s">
        <v>355</v>
      </c>
      <c r="H149">
        <v>9.15</v>
      </c>
      <c r="I149" t="s">
        <v>356</v>
      </c>
      <c r="J149">
        <v>9150</v>
      </c>
    </row>
    <row r="150" spans="2:10" x14ac:dyDescent="0.2">
      <c r="B150" s="1">
        <v>46098</v>
      </c>
      <c r="C150" t="s">
        <v>107</v>
      </c>
      <c r="D150" t="s">
        <v>89</v>
      </c>
      <c r="G150" t="s">
        <v>203</v>
      </c>
      <c r="H150">
        <v>40.6</v>
      </c>
      <c r="I150" t="s">
        <v>357</v>
      </c>
      <c r="J150">
        <v>40600</v>
      </c>
    </row>
    <row r="151" spans="2:10" x14ac:dyDescent="0.2">
      <c r="B151" s="1">
        <v>46098</v>
      </c>
      <c r="C151" t="s">
        <v>21</v>
      </c>
      <c r="D151" t="s">
        <v>94</v>
      </c>
      <c r="G151" t="s">
        <v>358</v>
      </c>
      <c r="H151">
        <v>-4.468</v>
      </c>
      <c r="I151" t="s">
        <v>359</v>
      </c>
      <c r="J151">
        <v>4468</v>
      </c>
    </row>
    <row r="152" spans="2:10" x14ac:dyDescent="0.2">
      <c r="B152" s="1">
        <v>46098</v>
      </c>
      <c r="C152" t="s">
        <v>336</v>
      </c>
      <c r="D152" t="s">
        <v>89</v>
      </c>
      <c r="G152" t="s">
        <v>360</v>
      </c>
      <c r="H152">
        <v>4.4000000000000004</v>
      </c>
      <c r="I152" t="s">
        <v>361</v>
      </c>
      <c r="J152">
        <v>4400</v>
      </c>
    </row>
    <row r="153" spans="2:10" x14ac:dyDescent="0.2">
      <c r="B153" s="1">
        <v>46098</v>
      </c>
      <c r="C153" t="s">
        <v>31</v>
      </c>
      <c r="D153" t="s">
        <v>94</v>
      </c>
      <c r="G153" t="s">
        <v>362</v>
      </c>
      <c r="H153">
        <v>-4.95</v>
      </c>
      <c r="I153" t="s">
        <v>363</v>
      </c>
      <c r="J153">
        <v>4950</v>
      </c>
    </row>
    <row r="154" spans="2:10" x14ac:dyDescent="0.2">
      <c r="B154" s="1">
        <v>46098</v>
      </c>
      <c r="C154" t="s">
        <v>31</v>
      </c>
      <c r="D154" t="s">
        <v>94</v>
      </c>
      <c r="G154" t="s">
        <v>364</v>
      </c>
      <c r="H154">
        <v>-5.15</v>
      </c>
      <c r="I154" t="s">
        <v>365</v>
      </c>
      <c r="J154">
        <v>5150</v>
      </c>
    </row>
    <row r="155" spans="2:10" x14ac:dyDescent="0.2">
      <c r="B155" s="1">
        <v>46098</v>
      </c>
      <c r="C155" t="s">
        <v>21</v>
      </c>
      <c r="D155" t="s">
        <v>89</v>
      </c>
      <c r="G155" t="s">
        <v>366</v>
      </c>
      <c r="H155">
        <v>4.8499999999999996</v>
      </c>
      <c r="I155" t="s">
        <v>367</v>
      </c>
      <c r="J155">
        <v>4850</v>
      </c>
    </row>
    <row r="156" spans="2:10" x14ac:dyDescent="0.2">
      <c r="B156" s="1">
        <v>46098</v>
      </c>
      <c r="C156" t="s">
        <v>21</v>
      </c>
      <c r="D156" t="s">
        <v>89</v>
      </c>
      <c r="G156" t="s">
        <v>368</v>
      </c>
      <c r="H156">
        <v>5.0250000000000004</v>
      </c>
      <c r="I156" t="s">
        <v>369</v>
      </c>
      <c r="J156">
        <v>5025</v>
      </c>
    </row>
    <row r="157" spans="2:10" x14ac:dyDescent="0.2">
      <c r="B157" s="1">
        <v>46098</v>
      </c>
      <c r="C157" t="s">
        <v>88</v>
      </c>
      <c r="D157" t="s">
        <v>94</v>
      </c>
      <c r="G157" t="s">
        <v>370</v>
      </c>
      <c r="H157">
        <v>-3.5449999999999999</v>
      </c>
      <c r="I157" t="s">
        <v>371</v>
      </c>
      <c r="J157">
        <v>3545</v>
      </c>
    </row>
    <row r="158" spans="2:10" x14ac:dyDescent="0.2">
      <c r="B158" s="1">
        <v>46098</v>
      </c>
      <c r="C158" t="s">
        <v>309</v>
      </c>
      <c r="D158" t="s">
        <v>89</v>
      </c>
      <c r="G158" t="s">
        <v>372</v>
      </c>
      <c r="H158">
        <v>3.4449999999999998</v>
      </c>
      <c r="I158" t="s">
        <v>371</v>
      </c>
      <c r="J158">
        <v>3445</v>
      </c>
    </row>
    <row r="159" spans="2:10" x14ac:dyDescent="0.2">
      <c r="B159" s="1">
        <v>46098</v>
      </c>
      <c r="C159" t="s">
        <v>187</v>
      </c>
      <c r="D159" t="s">
        <v>94</v>
      </c>
      <c r="G159" t="s">
        <v>136</v>
      </c>
      <c r="H159">
        <v>-1</v>
      </c>
      <c r="I159" t="s">
        <v>373</v>
      </c>
      <c r="J159">
        <v>1000</v>
      </c>
    </row>
    <row r="160" spans="2:10" x14ac:dyDescent="0.2">
      <c r="B160" s="1">
        <v>46098</v>
      </c>
      <c r="C160" t="s">
        <v>374</v>
      </c>
      <c r="D160" t="s">
        <v>94</v>
      </c>
      <c r="G160" t="s">
        <v>375</v>
      </c>
      <c r="H160">
        <v>-490</v>
      </c>
      <c r="I160" t="s">
        <v>313</v>
      </c>
      <c r="J160">
        <v>490</v>
      </c>
    </row>
    <row r="161" spans="2:10" x14ac:dyDescent="0.2">
      <c r="B161" s="1">
        <v>46098</v>
      </c>
      <c r="C161" t="s">
        <v>376</v>
      </c>
      <c r="D161" t="s">
        <v>94</v>
      </c>
      <c r="G161" t="s">
        <v>377</v>
      </c>
      <c r="H161">
        <v>-9.3369999999999997</v>
      </c>
      <c r="I161" t="s">
        <v>313</v>
      </c>
      <c r="J161">
        <v>9337</v>
      </c>
    </row>
    <row r="162" spans="2:10" x14ac:dyDescent="0.2">
      <c r="B162" s="1">
        <v>46098</v>
      </c>
      <c r="C162" t="s">
        <v>155</v>
      </c>
      <c r="D162" t="s">
        <v>89</v>
      </c>
      <c r="G162" t="s">
        <v>378</v>
      </c>
      <c r="H162">
        <v>10.032999999999999</v>
      </c>
      <c r="I162" t="s">
        <v>379</v>
      </c>
      <c r="J162">
        <v>10033</v>
      </c>
    </row>
    <row r="163" spans="2:10" x14ac:dyDescent="0.2">
      <c r="B163" s="1">
        <v>46098</v>
      </c>
      <c r="C163" t="s">
        <v>380</v>
      </c>
      <c r="D163" t="s">
        <v>89</v>
      </c>
      <c r="G163" t="s">
        <v>141</v>
      </c>
      <c r="H163">
        <v>2</v>
      </c>
      <c r="I163" t="s">
        <v>381</v>
      </c>
      <c r="J163">
        <v>2000</v>
      </c>
    </row>
    <row r="164" spans="2:10" x14ac:dyDescent="0.2">
      <c r="B164" s="1">
        <v>46098</v>
      </c>
      <c r="C164" t="s">
        <v>336</v>
      </c>
      <c r="D164" t="s">
        <v>94</v>
      </c>
      <c r="G164" t="s">
        <v>382</v>
      </c>
      <c r="H164">
        <v>-5.3410000000000002</v>
      </c>
      <c r="I164" t="s">
        <v>383</v>
      </c>
      <c r="J164">
        <v>5341</v>
      </c>
    </row>
    <row r="165" spans="2:10" x14ac:dyDescent="0.2">
      <c r="B165" s="1">
        <v>46098</v>
      </c>
      <c r="C165" t="s">
        <v>384</v>
      </c>
      <c r="D165" t="s">
        <v>94</v>
      </c>
      <c r="G165" t="s">
        <v>139</v>
      </c>
      <c r="H165">
        <v>-4.5</v>
      </c>
      <c r="I165" t="s">
        <v>313</v>
      </c>
      <c r="J165">
        <v>4500</v>
      </c>
    </row>
    <row r="166" spans="2:10" x14ac:dyDescent="0.2">
      <c r="B166" s="1">
        <v>46099</v>
      </c>
      <c r="C166" t="s">
        <v>31</v>
      </c>
      <c r="D166" t="s">
        <v>89</v>
      </c>
      <c r="G166" t="s">
        <v>385</v>
      </c>
      <c r="H166">
        <v>12.61</v>
      </c>
      <c r="I166" t="s">
        <v>386</v>
      </c>
      <c r="J166">
        <v>12610</v>
      </c>
    </row>
    <row r="167" spans="2:10" x14ac:dyDescent="0.2">
      <c r="B167" s="1">
        <v>46099</v>
      </c>
      <c r="C167" t="s">
        <v>31</v>
      </c>
      <c r="D167" t="s">
        <v>94</v>
      </c>
      <c r="G167" t="s">
        <v>387</v>
      </c>
      <c r="H167">
        <v>-2.5099999999999998</v>
      </c>
      <c r="I167" t="s">
        <v>225</v>
      </c>
      <c r="J167">
        <v>2510</v>
      </c>
    </row>
    <row r="168" spans="2:10" x14ac:dyDescent="0.2">
      <c r="B168" s="1">
        <v>46099</v>
      </c>
      <c r="C168" t="s">
        <v>388</v>
      </c>
      <c r="D168" t="s">
        <v>89</v>
      </c>
      <c r="G168" t="s">
        <v>389</v>
      </c>
      <c r="H168">
        <v>2.355</v>
      </c>
      <c r="I168" t="s">
        <v>390</v>
      </c>
      <c r="J168">
        <v>2355</v>
      </c>
    </row>
    <row r="169" spans="2:10" x14ac:dyDescent="0.2">
      <c r="B169" s="1">
        <v>46099</v>
      </c>
      <c r="C169" t="s">
        <v>388</v>
      </c>
      <c r="D169" t="s">
        <v>94</v>
      </c>
      <c r="G169" t="s">
        <v>389</v>
      </c>
      <c r="H169">
        <v>-2.355</v>
      </c>
      <c r="I169" t="s">
        <v>391</v>
      </c>
      <c r="J169">
        <v>2355</v>
      </c>
    </row>
    <row r="170" spans="2:10" x14ac:dyDescent="0.2">
      <c r="B170" s="1">
        <v>46099</v>
      </c>
      <c r="C170" t="s">
        <v>125</v>
      </c>
      <c r="D170" t="s">
        <v>89</v>
      </c>
      <c r="G170" t="s">
        <v>258</v>
      </c>
      <c r="H170">
        <v>1.2</v>
      </c>
      <c r="I170" t="s">
        <v>392</v>
      </c>
      <c r="J170">
        <v>1200</v>
      </c>
    </row>
    <row r="171" spans="2:10" x14ac:dyDescent="0.2">
      <c r="B171" s="1">
        <v>46099</v>
      </c>
      <c r="C171" t="s">
        <v>88</v>
      </c>
      <c r="D171" t="s">
        <v>89</v>
      </c>
      <c r="G171" t="s">
        <v>393</v>
      </c>
      <c r="H171">
        <v>3.2970000000000002</v>
      </c>
      <c r="I171" t="s">
        <v>394</v>
      </c>
      <c r="J171">
        <v>3297</v>
      </c>
    </row>
    <row r="172" spans="2:10" x14ac:dyDescent="0.2">
      <c r="B172" s="1">
        <v>46099</v>
      </c>
      <c r="C172" t="s">
        <v>159</v>
      </c>
      <c r="D172" t="s">
        <v>94</v>
      </c>
      <c r="G172" t="s">
        <v>395</v>
      </c>
      <c r="H172">
        <v>-3.4</v>
      </c>
      <c r="I172" t="s">
        <v>396</v>
      </c>
      <c r="J172">
        <v>3400</v>
      </c>
    </row>
    <row r="173" spans="2:10" x14ac:dyDescent="0.2">
      <c r="B173" s="1">
        <v>46099</v>
      </c>
      <c r="C173" t="s">
        <v>397</v>
      </c>
      <c r="D173" t="s">
        <v>94</v>
      </c>
      <c r="G173" t="s">
        <v>236</v>
      </c>
      <c r="H173">
        <v>-5</v>
      </c>
      <c r="I173" t="s">
        <v>398</v>
      </c>
      <c r="J173">
        <v>5000</v>
      </c>
    </row>
    <row r="174" spans="2:10" x14ac:dyDescent="0.2">
      <c r="B174" s="1">
        <v>46099</v>
      </c>
      <c r="C174" t="s">
        <v>88</v>
      </c>
      <c r="D174" t="s">
        <v>89</v>
      </c>
      <c r="G174" t="s">
        <v>399</v>
      </c>
      <c r="H174">
        <v>4.8780000000000001</v>
      </c>
      <c r="I174" t="s">
        <v>400</v>
      </c>
      <c r="J174">
        <v>4878</v>
      </c>
    </row>
    <row r="175" spans="2:10" x14ac:dyDescent="0.2">
      <c r="B175" s="1">
        <v>46099</v>
      </c>
      <c r="C175" t="s">
        <v>401</v>
      </c>
      <c r="D175" t="s">
        <v>94</v>
      </c>
      <c r="G175" t="s">
        <v>123</v>
      </c>
      <c r="H175">
        <v>-15</v>
      </c>
      <c r="I175" t="s">
        <v>402</v>
      </c>
      <c r="J175">
        <v>15000</v>
      </c>
    </row>
    <row r="176" spans="2:10" x14ac:dyDescent="0.2">
      <c r="B176" s="1">
        <v>46099</v>
      </c>
      <c r="C176" t="s">
        <v>107</v>
      </c>
      <c r="D176" t="s">
        <v>94</v>
      </c>
      <c r="G176" t="s">
        <v>403</v>
      </c>
      <c r="H176">
        <v>-25.375</v>
      </c>
      <c r="I176" t="s">
        <v>404</v>
      </c>
      <c r="J176">
        <v>25375</v>
      </c>
    </row>
    <row r="177" spans="2:10" x14ac:dyDescent="0.2">
      <c r="B177" s="1">
        <v>46099</v>
      </c>
      <c r="C177" t="s">
        <v>21</v>
      </c>
      <c r="D177" t="s">
        <v>89</v>
      </c>
      <c r="G177" t="s">
        <v>405</v>
      </c>
      <c r="H177">
        <v>25.05</v>
      </c>
      <c r="I177" t="s">
        <v>406</v>
      </c>
      <c r="J177">
        <v>25050</v>
      </c>
    </row>
    <row r="178" spans="2:10" x14ac:dyDescent="0.2">
      <c r="B178" s="1">
        <v>46099</v>
      </c>
      <c r="C178" t="s">
        <v>150</v>
      </c>
      <c r="D178" t="s">
        <v>89</v>
      </c>
      <c r="G178" t="s">
        <v>407</v>
      </c>
      <c r="H178">
        <v>500</v>
      </c>
      <c r="I178" t="s">
        <v>408</v>
      </c>
      <c r="J178">
        <v>500</v>
      </c>
    </row>
    <row r="179" spans="2:10" x14ac:dyDescent="0.2">
      <c r="B179" s="1">
        <v>46099</v>
      </c>
      <c r="C179" t="s">
        <v>21</v>
      </c>
      <c r="D179" t="s">
        <v>94</v>
      </c>
      <c r="G179" t="s">
        <v>409</v>
      </c>
      <c r="H179">
        <v>-4.2789999999999999</v>
      </c>
      <c r="I179" t="s">
        <v>410</v>
      </c>
      <c r="J179">
        <v>4279</v>
      </c>
    </row>
    <row r="180" spans="2:10" x14ac:dyDescent="0.2">
      <c r="B180" s="1">
        <v>46099</v>
      </c>
      <c r="C180" t="s">
        <v>57</v>
      </c>
      <c r="D180" t="s">
        <v>89</v>
      </c>
      <c r="G180" t="s">
        <v>351</v>
      </c>
      <c r="H180">
        <v>4.2</v>
      </c>
      <c r="I180" t="s">
        <v>411</v>
      </c>
      <c r="J180">
        <v>4200</v>
      </c>
    </row>
    <row r="181" spans="2:10" x14ac:dyDescent="0.2">
      <c r="B181" s="1">
        <v>46099</v>
      </c>
      <c r="C181" t="s">
        <v>412</v>
      </c>
      <c r="D181" t="s">
        <v>89</v>
      </c>
      <c r="G181" t="s">
        <v>413</v>
      </c>
      <c r="H181">
        <v>9.99</v>
      </c>
      <c r="I181" t="s">
        <v>414</v>
      </c>
      <c r="J181">
        <v>9990</v>
      </c>
    </row>
    <row r="182" spans="2:10" x14ac:dyDescent="0.2">
      <c r="B182" s="1">
        <v>46099</v>
      </c>
      <c r="C182" t="s">
        <v>148</v>
      </c>
      <c r="D182" t="s">
        <v>94</v>
      </c>
      <c r="G182" t="s">
        <v>415</v>
      </c>
      <c r="H182">
        <v>-10.670999999999999</v>
      </c>
      <c r="I182" t="s">
        <v>416</v>
      </c>
      <c r="J182">
        <v>10671</v>
      </c>
    </row>
    <row r="183" spans="2:10" x14ac:dyDescent="0.2">
      <c r="B183" s="1">
        <v>46099</v>
      </c>
      <c r="C183" t="s">
        <v>412</v>
      </c>
      <c r="D183" t="s">
        <v>94</v>
      </c>
      <c r="G183" t="s">
        <v>413</v>
      </c>
      <c r="H183">
        <v>-9.99</v>
      </c>
      <c r="I183" t="s">
        <v>417</v>
      </c>
      <c r="J183">
        <v>9990</v>
      </c>
    </row>
    <row r="184" spans="2:10" x14ac:dyDescent="0.2">
      <c r="B184" s="1">
        <v>46099</v>
      </c>
      <c r="C184" t="s">
        <v>88</v>
      </c>
      <c r="D184" t="s">
        <v>89</v>
      </c>
      <c r="G184" t="s">
        <v>418</v>
      </c>
      <c r="H184">
        <v>9.7810000000000006</v>
      </c>
      <c r="I184" t="s">
        <v>419</v>
      </c>
      <c r="J184">
        <v>9781</v>
      </c>
    </row>
    <row r="185" spans="2:10" x14ac:dyDescent="0.2">
      <c r="B185" s="1">
        <v>46100</v>
      </c>
      <c r="C185" t="s">
        <v>57</v>
      </c>
      <c r="D185" t="s">
        <v>94</v>
      </c>
      <c r="G185" t="s">
        <v>351</v>
      </c>
      <c r="H185">
        <v>-4.2</v>
      </c>
      <c r="I185" t="s">
        <v>420</v>
      </c>
      <c r="J185">
        <v>4200</v>
      </c>
    </row>
    <row r="186" spans="2:10" x14ac:dyDescent="0.2">
      <c r="B186" s="1">
        <v>46100</v>
      </c>
      <c r="C186" t="s">
        <v>374</v>
      </c>
      <c r="D186" t="s">
        <v>89</v>
      </c>
      <c r="G186" t="s">
        <v>113</v>
      </c>
      <c r="H186">
        <v>1.5</v>
      </c>
      <c r="I186" t="s">
        <v>421</v>
      </c>
      <c r="J186">
        <v>1500</v>
      </c>
    </row>
    <row r="187" spans="2:10" x14ac:dyDescent="0.2">
      <c r="B187" s="1">
        <v>46100</v>
      </c>
      <c r="C187" t="s">
        <v>374</v>
      </c>
      <c r="D187" t="s">
        <v>94</v>
      </c>
      <c r="G187" t="s">
        <v>422</v>
      </c>
      <c r="H187">
        <v>-429</v>
      </c>
      <c r="I187" t="s">
        <v>423</v>
      </c>
      <c r="J187">
        <v>429</v>
      </c>
    </row>
    <row r="188" spans="2:10" x14ac:dyDescent="0.2">
      <c r="B188" s="1">
        <v>46100</v>
      </c>
      <c r="C188" t="s">
        <v>88</v>
      </c>
      <c r="D188" t="s">
        <v>89</v>
      </c>
      <c r="G188" t="s">
        <v>424</v>
      </c>
      <c r="H188">
        <v>3.484</v>
      </c>
      <c r="I188" t="s">
        <v>425</v>
      </c>
      <c r="J188">
        <v>3484</v>
      </c>
    </row>
    <row r="189" spans="2:10" x14ac:dyDescent="0.2">
      <c r="B189" s="1">
        <v>46100</v>
      </c>
      <c r="C189" t="s">
        <v>88</v>
      </c>
      <c r="D189" t="s">
        <v>94</v>
      </c>
      <c r="G189" t="s">
        <v>426</v>
      </c>
      <c r="H189">
        <v>-2.61</v>
      </c>
      <c r="I189" t="s">
        <v>427</v>
      </c>
      <c r="J189">
        <v>2610</v>
      </c>
    </row>
    <row r="190" spans="2:10" x14ac:dyDescent="0.2">
      <c r="B190" s="1">
        <v>46100</v>
      </c>
      <c r="C190" t="s">
        <v>412</v>
      </c>
      <c r="D190" t="s">
        <v>89</v>
      </c>
      <c r="G190" t="s">
        <v>428</v>
      </c>
      <c r="H190">
        <v>4.4089999999999998</v>
      </c>
      <c r="I190" t="s">
        <v>414</v>
      </c>
      <c r="J190">
        <v>4409</v>
      </c>
    </row>
    <row r="191" spans="2:10" x14ac:dyDescent="0.2">
      <c r="B191" s="1">
        <v>46100</v>
      </c>
      <c r="C191" t="s">
        <v>148</v>
      </c>
      <c r="D191" t="s">
        <v>94</v>
      </c>
      <c r="G191" t="s">
        <v>429</v>
      </c>
      <c r="H191">
        <v>-4.6909999999999998</v>
      </c>
      <c r="I191" t="s">
        <v>430</v>
      </c>
      <c r="J191">
        <v>4691</v>
      </c>
    </row>
    <row r="192" spans="2:10" x14ac:dyDescent="0.2">
      <c r="B192" s="1">
        <v>46100</v>
      </c>
      <c r="C192" t="s">
        <v>148</v>
      </c>
      <c r="D192" t="s">
        <v>89</v>
      </c>
      <c r="G192" t="s">
        <v>431</v>
      </c>
      <c r="H192">
        <v>15.38</v>
      </c>
      <c r="I192" t="s">
        <v>432</v>
      </c>
      <c r="J192">
        <v>15380</v>
      </c>
    </row>
    <row r="193" spans="2:10" x14ac:dyDescent="0.2">
      <c r="B193" s="1">
        <v>46100</v>
      </c>
      <c r="C193" t="s">
        <v>433</v>
      </c>
      <c r="D193" t="s">
        <v>94</v>
      </c>
      <c r="G193" t="s">
        <v>157</v>
      </c>
      <c r="H193">
        <v>-10</v>
      </c>
      <c r="I193" t="s">
        <v>434</v>
      </c>
      <c r="J193">
        <v>10000</v>
      </c>
    </row>
    <row r="194" spans="2:10" x14ac:dyDescent="0.2">
      <c r="B194" s="1">
        <v>46100</v>
      </c>
      <c r="C194" t="s">
        <v>21</v>
      </c>
      <c r="D194" t="s">
        <v>89</v>
      </c>
      <c r="G194" t="s">
        <v>435</v>
      </c>
      <c r="H194">
        <v>2.56</v>
      </c>
      <c r="I194" t="s">
        <v>436</v>
      </c>
      <c r="J194">
        <v>2560</v>
      </c>
    </row>
    <row r="195" spans="2:10" x14ac:dyDescent="0.2">
      <c r="B195" s="1">
        <v>46101</v>
      </c>
      <c r="C195" t="s">
        <v>170</v>
      </c>
      <c r="D195" t="s">
        <v>94</v>
      </c>
      <c r="G195" t="s">
        <v>437</v>
      </c>
      <c r="H195">
        <v>-4.3529999999999998</v>
      </c>
      <c r="I195" t="s">
        <v>438</v>
      </c>
      <c r="J195">
        <v>4353</v>
      </c>
    </row>
    <row r="196" spans="2:10" x14ac:dyDescent="0.2">
      <c r="B196" s="1">
        <v>46101</v>
      </c>
      <c r="C196" t="s">
        <v>439</v>
      </c>
      <c r="D196" t="s">
        <v>89</v>
      </c>
      <c r="G196" t="s">
        <v>440</v>
      </c>
      <c r="H196">
        <v>26.908000000000001</v>
      </c>
      <c r="I196" t="s">
        <v>441</v>
      </c>
      <c r="J196">
        <v>26908</v>
      </c>
    </row>
    <row r="197" spans="2:10" x14ac:dyDescent="0.2">
      <c r="B197" s="1">
        <v>46101</v>
      </c>
      <c r="C197" t="s">
        <v>21</v>
      </c>
      <c r="D197" t="s">
        <v>94</v>
      </c>
      <c r="G197" t="s">
        <v>442</v>
      </c>
      <c r="H197">
        <v>-27.46</v>
      </c>
      <c r="I197" t="s">
        <v>443</v>
      </c>
      <c r="J197">
        <v>27460</v>
      </c>
    </row>
    <row r="198" spans="2:10" x14ac:dyDescent="0.2">
      <c r="B198" s="1">
        <v>46101</v>
      </c>
      <c r="C198" t="s">
        <v>271</v>
      </c>
      <c r="D198" t="s">
        <v>94</v>
      </c>
      <c r="G198" t="s">
        <v>444</v>
      </c>
      <c r="H198">
        <v>-14.696999999999999</v>
      </c>
      <c r="I198" t="s">
        <v>443</v>
      </c>
      <c r="J198">
        <v>14697</v>
      </c>
    </row>
    <row r="199" spans="2:10" x14ac:dyDescent="0.2">
      <c r="B199" s="1">
        <v>46101</v>
      </c>
      <c r="C199" t="s">
        <v>439</v>
      </c>
      <c r="D199" t="s">
        <v>89</v>
      </c>
      <c r="G199" t="s">
        <v>445</v>
      </c>
      <c r="H199">
        <v>14.401999999999999</v>
      </c>
      <c r="I199" t="s">
        <v>446</v>
      </c>
      <c r="J199">
        <v>14402</v>
      </c>
    </row>
    <row r="200" spans="2:10" x14ac:dyDescent="0.2">
      <c r="B200" s="1">
        <v>46101</v>
      </c>
      <c r="C200" t="s">
        <v>439</v>
      </c>
    </row>
    <row r="201" spans="2:10" x14ac:dyDescent="0.2">
      <c r="B201" s="1">
        <v>46101</v>
      </c>
      <c r="C201" t="s">
        <v>88</v>
      </c>
      <c r="D201" t="s">
        <v>89</v>
      </c>
      <c r="G201" t="s">
        <v>447</v>
      </c>
      <c r="H201">
        <v>4.2160000000000002</v>
      </c>
      <c r="I201" t="s">
        <v>448</v>
      </c>
      <c r="J201">
        <v>4216</v>
      </c>
    </row>
    <row r="202" spans="2:10" x14ac:dyDescent="0.2">
      <c r="B202" s="1">
        <v>46101</v>
      </c>
      <c r="C202" t="s">
        <v>412</v>
      </c>
      <c r="D202" t="s">
        <v>89</v>
      </c>
      <c r="G202" t="s">
        <v>449</v>
      </c>
      <c r="H202">
        <v>6.0890000000000004</v>
      </c>
      <c r="I202" t="s">
        <v>450</v>
      </c>
      <c r="J202">
        <v>6089</v>
      </c>
    </row>
    <row r="203" spans="2:10" x14ac:dyDescent="0.2">
      <c r="B203" s="1">
        <v>46101</v>
      </c>
      <c r="C203" t="s">
        <v>148</v>
      </c>
      <c r="D203" t="s">
        <v>94</v>
      </c>
      <c r="G203" t="s">
        <v>451</v>
      </c>
      <c r="H203">
        <v>-6.4790000000000001</v>
      </c>
      <c r="I203" t="s">
        <v>452</v>
      </c>
      <c r="J203">
        <v>6479</v>
      </c>
    </row>
    <row r="204" spans="2:10" x14ac:dyDescent="0.2">
      <c r="B204" s="1">
        <v>46101</v>
      </c>
      <c r="C204" t="s">
        <v>412</v>
      </c>
      <c r="D204" t="s">
        <v>94</v>
      </c>
      <c r="G204" t="s">
        <v>453</v>
      </c>
      <c r="H204">
        <v>-10.5</v>
      </c>
      <c r="I204" t="s">
        <v>340</v>
      </c>
      <c r="J204">
        <v>10500</v>
      </c>
    </row>
    <row r="205" spans="2:10" x14ac:dyDescent="0.2">
      <c r="B205" s="1">
        <v>46101</v>
      </c>
      <c r="C205" t="s">
        <v>212</v>
      </c>
      <c r="D205" t="s">
        <v>89</v>
      </c>
      <c r="G205" t="s">
        <v>454</v>
      </c>
      <c r="H205">
        <v>1.0820000000000001</v>
      </c>
      <c r="I205" t="s">
        <v>455</v>
      </c>
      <c r="J205">
        <v>1082</v>
      </c>
    </row>
    <row r="206" spans="2:10" x14ac:dyDescent="0.2">
      <c r="B206" s="1">
        <v>46101</v>
      </c>
      <c r="C206" t="s">
        <v>132</v>
      </c>
      <c r="D206" t="s">
        <v>94</v>
      </c>
      <c r="G206" t="s">
        <v>405</v>
      </c>
      <c r="H206">
        <v>-25.05</v>
      </c>
      <c r="I206" t="s">
        <v>456</v>
      </c>
      <c r="J206">
        <v>25050</v>
      </c>
    </row>
    <row r="207" spans="2:10" x14ac:dyDescent="0.2">
      <c r="B207" s="1">
        <v>46101</v>
      </c>
      <c r="C207" t="s">
        <v>21</v>
      </c>
      <c r="D207" t="s">
        <v>89</v>
      </c>
      <c r="G207" t="s">
        <v>405</v>
      </c>
      <c r="H207">
        <v>25.05</v>
      </c>
      <c r="I207" t="s">
        <v>457</v>
      </c>
      <c r="J207">
        <v>25050</v>
      </c>
    </row>
    <row r="208" spans="2:10" x14ac:dyDescent="0.2">
      <c r="B208" s="1">
        <v>46101</v>
      </c>
      <c r="C208" t="s">
        <v>376</v>
      </c>
      <c r="D208" t="s">
        <v>89</v>
      </c>
      <c r="G208" t="s">
        <v>458</v>
      </c>
      <c r="H208">
        <v>20.66</v>
      </c>
      <c r="I208" t="s">
        <v>459</v>
      </c>
      <c r="J208">
        <v>20660</v>
      </c>
    </row>
    <row r="209" spans="2:10" x14ac:dyDescent="0.2">
      <c r="B209" s="1">
        <v>46101</v>
      </c>
      <c r="C209" t="s">
        <v>401</v>
      </c>
      <c r="D209" t="s">
        <v>89</v>
      </c>
      <c r="G209" t="s">
        <v>123</v>
      </c>
      <c r="H209">
        <v>15</v>
      </c>
      <c r="I209" t="s">
        <v>460</v>
      </c>
      <c r="J209">
        <v>15000</v>
      </c>
    </row>
    <row r="210" spans="2:10" x14ac:dyDescent="0.2">
      <c r="B210" s="1">
        <v>46101</v>
      </c>
      <c r="C210" t="s">
        <v>21</v>
      </c>
      <c r="D210" t="s">
        <v>94</v>
      </c>
      <c r="G210" t="s">
        <v>458</v>
      </c>
      <c r="H210">
        <v>-20.66</v>
      </c>
      <c r="I210" t="s">
        <v>461</v>
      </c>
      <c r="J210">
        <v>20660</v>
      </c>
    </row>
    <row r="211" spans="2:10" x14ac:dyDescent="0.2">
      <c r="B211" s="1">
        <v>46101</v>
      </c>
      <c r="C211" t="s">
        <v>439</v>
      </c>
      <c r="D211" t="s">
        <v>94</v>
      </c>
      <c r="G211" t="s">
        <v>462</v>
      </c>
      <c r="H211">
        <v>-41.31</v>
      </c>
      <c r="I211" t="s">
        <v>463</v>
      </c>
      <c r="J211">
        <v>41310</v>
      </c>
    </row>
    <row r="212" spans="2:10" x14ac:dyDescent="0.2">
      <c r="B212" s="1">
        <v>46101</v>
      </c>
      <c r="C212" t="s">
        <v>191</v>
      </c>
      <c r="D212" t="s">
        <v>89</v>
      </c>
      <c r="G212" t="s">
        <v>171</v>
      </c>
      <c r="H212">
        <v>4</v>
      </c>
      <c r="I212" t="s">
        <v>464</v>
      </c>
      <c r="J212">
        <v>4000</v>
      </c>
    </row>
    <row r="213" spans="2:10" x14ac:dyDescent="0.2">
      <c r="B213" s="1">
        <v>46101</v>
      </c>
      <c r="C213" t="s">
        <v>271</v>
      </c>
      <c r="D213" t="s">
        <v>94</v>
      </c>
      <c r="G213" t="s">
        <v>465</v>
      </c>
      <c r="H213">
        <v>-10.093999999999999</v>
      </c>
      <c r="I213" t="s">
        <v>466</v>
      </c>
      <c r="J213">
        <v>10094</v>
      </c>
    </row>
    <row r="214" spans="2:10" x14ac:dyDescent="0.2">
      <c r="B214" s="1">
        <v>46101</v>
      </c>
      <c r="C214" t="s">
        <v>467</v>
      </c>
      <c r="D214" t="s">
        <v>89</v>
      </c>
      <c r="G214" t="s">
        <v>157</v>
      </c>
      <c r="H214">
        <v>10</v>
      </c>
      <c r="I214" t="s">
        <v>468</v>
      </c>
      <c r="J214">
        <v>10000</v>
      </c>
    </row>
    <row r="215" spans="2:10" x14ac:dyDescent="0.2">
      <c r="B215" s="1">
        <v>46101</v>
      </c>
      <c r="C215" t="s">
        <v>467</v>
      </c>
      <c r="D215" t="s">
        <v>94</v>
      </c>
      <c r="G215" t="s">
        <v>157</v>
      </c>
      <c r="H215">
        <v>-10</v>
      </c>
      <c r="I215" t="s">
        <v>469</v>
      </c>
      <c r="J215">
        <v>10000</v>
      </c>
    </row>
    <row r="216" spans="2:10" x14ac:dyDescent="0.2">
      <c r="B216" s="1">
        <v>46106</v>
      </c>
      <c r="C216" t="s">
        <v>212</v>
      </c>
      <c r="D216" t="s">
        <v>94</v>
      </c>
      <c r="G216" t="s">
        <v>470</v>
      </c>
      <c r="H216">
        <v>-2.8</v>
      </c>
      <c r="I216" t="s">
        <v>471</v>
      </c>
      <c r="J216">
        <v>2800</v>
      </c>
    </row>
    <row r="217" spans="2:10" x14ac:dyDescent="0.2">
      <c r="B217" s="1">
        <v>46106</v>
      </c>
      <c r="C217" t="s">
        <v>212</v>
      </c>
      <c r="D217" t="s">
        <v>94</v>
      </c>
      <c r="G217" t="s">
        <v>470</v>
      </c>
      <c r="H217">
        <v>-2.8</v>
      </c>
      <c r="I217" t="s">
        <v>471</v>
      </c>
      <c r="J217">
        <v>2800</v>
      </c>
    </row>
    <row r="218" spans="2:10" x14ac:dyDescent="0.2">
      <c r="B218" s="1">
        <v>46106</v>
      </c>
      <c r="C218" t="s">
        <v>333</v>
      </c>
      <c r="D218" t="s">
        <v>89</v>
      </c>
      <c r="G218" t="s">
        <v>472</v>
      </c>
      <c r="H218">
        <v>2.1269999999999998</v>
      </c>
      <c r="I218" t="s">
        <v>473</v>
      </c>
      <c r="J218">
        <v>2127</v>
      </c>
    </row>
    <row r="219" spans="2:10" x14ac:dyDescent="0.2">
      <c r="B219" s="1">
        <v>46106</v>
      </c>
      <c r="C219" t="s">
        <v>21</v>
      </c>
      <c r="D219" t="s">
        <v>89</v>
      </c>
      <c r="G219" t="s">
        <v>474</v>
      </c>
      <c r="H219">
        <v>2.75</v>
      </c>
      <c r="I219" t="s">
        <v>475</v>
      </c>
      <c r="J219">
        <v>2750</v>
      </c>
    </row>
    <row r="220" spans="2:10" x14ac:dyDescent="0.2">
      <c r="B220" s="1">
        <v>46106</v>
      </c>
      <c r="C220" t="s">
        <v>21</v>
      </c>
      <c r="D220" t="s">
        <v>89</v>
      </c>
      <c r="G220" t="s">
        <v>474</v>
      </c>
      <c r="H220">
        <v>2.75</v>
      </c>
      <c r="I220" t="s">
        <v>475</v>
      </c>
      <c r="J220">
        <v>2750</v>
      </c>
    </row>
    <row r="221" spans="2:10" x14ac:dyDescent="0.2">
      <c r="B221" s="1">
        <v>46106</v>
      </c>
      <c r="C221" t="s">
        <v>21</v>
      </c>
      <c r="D221" t="s">
        <v>94</v>
      </c>
      <c r="G221" t="s">
        <v>476</v>
      </c>
      <c r="H221">
        <v>-43.665999999999997</v>
      </c>
      <c r="I221" t="s">
        <v>477</v>
      </c>
      <c r="J221">
        <v>43666</v>
      </c>
    </row>
    <row r="222" spans="2:10" x14ac:dyDescent="0.2">
      <c r="B222" s="1">
        <v>46106</v>
      </c>
      <c r="C222" t="s">
        <v>271</v>
      </c>
      <c r="D222" t="s">
        <v>94</v>
      </c>
      <c r="G222" t="s">
        <v>478</v>
      </c>
      <c r="H222">
        <v>-39.75</v>
      </c>
      <c r="I222" t="s">
        <v>479</v>
      </c>
      <c r="J222">
        <v>39750</v>
      </c>
    </row>
    <row r="223" spans="2:10" x14ac:dyDescent="0.2">
      <c r="B223" s="1">
        <v>46106</v>
      </c>
      <c r="C223" t="s">
        <v>480</v>
      </c>
      <c r="D223" t="s">
        <v>89</v>
      </c>
      <c r="G223" t="s">
        <v>481</v>
      </c>
      <c r="H223">
        <v>39.151000000000003</v>
      </c>
      <c r="I223" t="s">
        <v>482</v>
      </c>
      <c r="J223">
        <v>39151</v>
      </c>
    </row>
    <row r="224" spans="2:10" x14ac:dyDescent="0.2">
      <c r="B224" s="1">
        <v>46106</v>
      </c>
      <c r="C224" t="s">
        <v>31</v>
      </c>
      <c r="D224" t="s">
        <v>89</v>
      </c>
      <c r="G224" t="s">
        <v>483</v>
      </c>
      <c r="H224">
        <v>43.226999999999997</v>
      </c>
      <c r="I224" t="s">
        <v>484</v>
      </c>
      <c r="J224">
        <v>43227</v>
      </c>
    </row>
    <row r="225" spans="2:10" x14ac:dyDescent="0.2">
      <c r="B225" s="1">
        <v>46106</v>
      </c>
      <c r="C225" t="s">
        <v>271</v>
      </c>
      <c r="D225" t="s">
        <v>94</v>
      </c>
      <c r="G225" t="s">
        <v>485</v>
      </c>
      <c r="H225">
        <v>-19.844999999999999</v>
      </c>
      <c r="I225" t="s">
        <v>486</v>
      </c>
      <c r="J225">
        <v>19845</v>
      </c>
    </row>
    <row r="226" spans="2:10" x14ac:dyDescent="0.2">
      <c r="B226" s="1">
        <v>46106</v>
      </c>
      <c r="C226" t="s">
        <v>271</v>
      </c>
      <c r="D226" t="s">
        <v>94</v>
      </c>
      <c r="G226" t="s">
        <v>487</v>
      </c>
      <c r="H226">
        <v>-29.795000000000002</v>
      </c>
      <c r="I226" t="s">
        <v>486</v>
      </c>
      <c r="J226">
        <v>29795</v>
      </c>
    </row>
    <row r="227" spans="2:10" x14ac:dyDescent="0.2">
      <c r="B227" s="1">
        <v>46106</v>
      </c>
      <c r="C227" t="s">
        <v>488</v>
      </c>
      <c r="D227" t="s">
        <v>89</v>
      </c>
      <c r="G227" t="s">
        <v>489</v>
      </c>
      <c r="H227">
        <v>49.25</v>
      </c>
      <c r="I227" t="s">
        <v>490</v>
      </c>
      <c r="J227">
        <v>49250</v>
      </c>
    </row>
    <row r="228" spans="2:10" x14ac:dyDescent="0.2">
      <c r="B228" s="1">
        <v>46106</v>
      </c>
      <c r="C228" t="s">
        <v>488</v>
      </c>
      <c r="D228" t="s">
        <v>94</v>
      </c>
      <c r="G228" t="s">
        <v>489</v>
      </c>
      <c r="H228">
        <v>-49.25</v>
      </c>
      <c r="I228" t="s">
        <v>491</v>
      </c>
      <c r="J228">
        <v>49250</v>
      </c>
    </row>
    <row r="229" spans="2:10" x14ac:dyDescent="0.2">
      <c r="B229" s="1">
        <v>46106</v>
      </c>
      <c r="C229" t="s">
        <v>21</v>
      </c>
      <c r="D229" t="s">
        <v>89</v>
      </c>
      <c r="G229" t="s">
        <v>492</v>
      </c>
      <c r="H229">
        <v>49.325000000000003</v>
      </c>
      <c r="I229" t="s">
        <v>493</v>
      </c>
      <c r="J229">
        <v>49325</v>
      </c>
    </row>
    <row r="230" spans="2:10" x14ac:dyDescent="0.2">
      <c r="B230" s="1">
        <v>46106</v>
      </c>
      <c r="C230" t="s">
        <v>191</v>
      </c>
      <c r="D230" t="s">
        <v>89</v>
      </c>
      <c r="G230" t="s">
        <v>494</v>
      </c>
      <c r="H230">
        <v>1.357</v>
      </c>
      <c r="I230" t="s">
        <v>495</v>
      </c>
      <c r="J230">
        <v>1357</v>
      </c>
    </row>
    <row r="231" spans="2:10" x14ac:dyDescent="0.2">
      <c r="B231" s="1">
        <v>46106</v>
      </c>
      <c r="C231" t="s">
        <v>376</v>
      </c>
      <c r="D231" t="s">
        <v>94</v>
      </c>
      <c r="G231" t="s">
        <v>496</v>
      </c>
      <c r="H231">
        <v>-10.791</v>
      </c>
      <c r="I231" t="s">
        <v>497</v>
      </c>
      <c r="J231">
        <v>10791</v>
      </c>
    </row>
    <row r="232" spans="2:10" x14ac:dyDescent="0.2">
      <c r="B232" s="1">
        <v>46106</v>
      </c>
      <c r="C232" t="s">
        <v>170</v>
      </c>
      <c r="D232" t="s">
        <v>89</v>
      </c>
      <c r="G232" t="s">
        <v>238</v>
      </c>
      <c r="H232">
        <v>20</v>
      </c>
      <c r="I232" t="s">
        <v>498</v>
      </c>
      <c r="J232">
        <v>20000</v>
      </c>
    </row>
    <row r="233" spans="2:10" x14ac:dyDescent="0.2">
      <c r="B233" s="1">
        <v>46106</v>
      </c>
      <c r="C233" t="s">
        <v>344</v>
      </c>
      <c r="D233" t="s">
        <v>89</v>
      </c>
      <c r="G233" t="s">
        <v>162</v>
      </c>
      <c r="H233">
        <v>30</v>
      </c>
      <c r="I233" t="s">
        <v>498</v>
      </c>
      <c r="J233">
        <v>30000</v>
      </c>
    </row>
    <row r="234" spans="2:10" x14ac:dyDescent="0.2">
      <c r="B234" s="1">
        <v>46106</v>
      </c>
      <c r="C234" t="s">
        <v>142</v>
      </c>
      <c r="D234" t="s">
        <v>94</v>
      </c>
      <c r="G234" t="s">
        <v>499</v>
      </c>
      <c r="H234">
        <v>-742</v>
      </c>
      <c r="I234" t="s">
        <v>500</v>
      </c>
      <c r="J234">
        <v>742</v>
      </c>
    </row>
    <row r="235" spans="2:10" x14ac:dyDescent="0.2">
      <c r="B235" s="1">
        <v>46106</v>
      </c>
      <c r="C235" t="s">
        <v>142</v>
      </c>
      <c r="D235" t="s">
        <v>89</v>
      </c>
      <c r="G235" t="s">
        <v>501</v>
      </c>
      <c r="H235">
        <v>1.0740000000000001</v>
      </c>
      <c r="I235" t="s">
        <v>502</v>
      </c>
      <c r="J235">
        <v>1074</v>
      </c>
    </row>
    <row r="236" spans="2:10" x14ac:dyDescent="0.2">
      <c r="B236" s="1">
        <v>46106</v>
      </c>
      <c r="C236" t="s">
        <v>159</v>
      </c>
      <c r="D236" t="s">
        <v>94</v>
      </c>
      <c r="G236" t="s">
        <v>503</v>
      </c>
      <c r="H236">
        <v>-200</v>
      </c>
      <c r="I236" t="s">
        <v>504</v>
      </c>
      <c r="J236">
        <v>200</v>
      </c>
    </row>
    <row r="237" spans="2:10" x14ac:dyDescent="0.2">
      <c r="B237" s="1">
        <v>46106</v>
      </c>
      <c r="C237" t="s">
        <v>480</v>
      </c>
      <c r="D237" t="s">
        <v>94</v>
      </c>
      <c r="G237" t="s">
        <v>481</v>
      </c>
      <c r="H237">
        <v>-39.151000000000003</v>
      </c>
      <c r="I237" t="s">
        <v>505</v>
      </c>
      <c r="J237">
        <v>39151</v>
      </c>
    </row>
    <row r="238" spans="2:10" x14ac:dyDescent="0.2">
      <c r="B238" s="1">
        <v>46107</v>
      </c>
      <c r="C238" t="s">
        <v>107</v>
      </c>
      <c r="D238" t="s">
        <v>89</v>
      </c>
      <c r="G238" t="s">
        <v>506</v>
      </c>
      <c r="H238">
        <v>25.8</v>
      </c>
      <c r="I238" t="s">
        <v>507</v>
      </c>
      <c r="J238">
        <v>25800</v>
      </c>
    </row>
    <row r="239" spans="2:10" x14ac:dyDescent="0.2">
      <c r="B239" s="1">
        <v>46107</v>
      </c>
      <c r="C239" t="s">
        <v>21</v>
      </c>
      <c r="D239" t="s">
        <v>94</v>
      </c>
      <c r="G239" t="s">
        <v>508</v>
      </c>
      <c r="H239">
        <v>-9.8949999999999996</v>
      </c>
      <c r="I239" t="s">
        <v>509</v>
      </c>
      <c r="J239">
        <v>9895</v>
      </c>
    </row>
    <row r="240" spans="2:10" x14ac:dyDescent="0.2">
      <c r="B240" s="1">
        <v>46107</v>
      </c>
      <c r="C240" t="s">
        <v>31</v>
      </c>
      <c r="D240" t="s">
        <v>89</v>
      </c>
      <c r="G240" t="s">
        <v>510</v>
      </c>
      <c r="H240">
        <v>9.8450000000000006</v>
      </c>
      <c r="I240" t="s">
        <v>511</v>
      </c>
      <c r="J240">
        <v>9845</v>
      </c>
    </row>
    <row r="241" spans="2:10" x14ac:dyDescent="0.2">
      <c r="B241" s="1">
        <v>46107</v>
      </c>
      <c r="C241" t="s">
        <v>132</v>
      </c>
      <c r="D241" t="s">
        <v>89</v>
      </c>
      <c r="G241" t="s">
        <v>157</v>
      </c>
      <c r="H241">
        <v>10</v>
      </c>
      <c r="I241" t="s">
        <v>512</v>
      </c>
      <c r="J241">
        <v>10000</v>
      </c>
    </row>
    <row r="242" spans="2:10" x14ac:dyDescent="0.2">
      <c r="B242" s="1">
        <v>46107</v>
      </c>
      <c r="C242" t="s">
        <v>376</v>
      </c>
      <c r="D242" t="s">
        <v>94</v>
      </c>
      <c r="G242" t="s">
        <v>513</v>
      </c>
      <c r="H242">
        <v>-10.143000000000001</v>
      </c>
      <c r="I242" t="s">
        <v>512</v>
      </c>
      <c r="J242">
        <v>10143</v>
      </c>
    </row>
    <row r="243" spans="2:10" x14ac:dyDescent="0.2">
      <c r="B243" s="1">
        <v>46107</v>
      </c>
      <c r="C243" t="s">
        <v>31</v>
      </c>
      <c r="D243" t="s">
        <v>94</v>
      </c>
      <c r="G243" t="s">
        <v>514</v>
      </c>
      <c r="H243">
        <v>-53.072000000000003</v>
      </c>
      <c r="I243" t="s">
        <v>515</v>
      </c>
      <c r="J243">
        <v>53072</v>
      </c>
    </row>
    <row r="244" spans="2:10" x14ac:dyDescent="0.2">
      <c r="B244" s="1">
        <v>46107</v>
      </c>
      <c r="C244" t="s">
        <v>299</v>
      </c>
      <c r="D244" t="s">
        <v>89</v>
      </c>
      <c r="G244" t="s">
        <v>300</v>
      </c>
      <c r="H244">
        <v>300</v>
      </c>
      <c r="I244" t="s">
        <v>516</v>
      </c>
      <c r="J244">
        <v>300</v>
      </c>
    </row>
    <row r="245" spans="2:10" x14ac:dyDescent="0.2">
      <c r="B245" s="1">
        <v>46107</v>
      </c>
      <c r="C245" t="s">
        <v>88</v>
      </c>
      <c r="D245" t="s">
        <v>94</v>
      </c>
      <c r="G245" t="s">
        <v>517</v>
      </c>
      <c r="H245">
        <v>-25.998000000000001</v>
      </c>
      <c r="I245" t="s">
        <v>518</v>
      </c>
      <c r="J245">
        <v>25998</v>
      </c>
    </row>
    <row r="246" spans="2:10" x14ac:dyDescent="0.2">
      <c r="B246" s="1">
        <v>46107</v>
      </c>
      <c r="C246" t="s">
        <v>132</v>
      </c>
      <c r="D246" t="s">
        <v>89</v>
      </c>
      <c r="G246" t="s">
        <v>519</v>
      </c>
      <c r="H246">
        <v>25.704000000000001</v>
      </c>
      <c r="I246" t="s">
        <v>520</v>
      </c>
      <c r="J246">
        <v>25704</v>
      </c>
    </row>
    <row r="247" spans="2:10" x14ac:dyDescent="0.2">
      <c r="B247" s="1">
        <v>46107</v>
      </c>
      <c r="C247" t="s">
        <v>521</v>
      </c>
      <c r="D247" t="s">
        <v>94</v>
      </c>
      <c r="G247" t="s">
        <v>522</v>
      </c>
      <c r="H247">
        <v>-122.4</v>
      </c>
      <c r="I247" t="s">
        <v>523</v>
      </c>
      <c r="J247">
        <v>122400</v>
      </c>
    </row>
    <row r="248" spans="2:10" x14ac:dyDescent="0.2">
      <c r="B248" s="1">
        <v>46107</v>
      </c>
      <c r="C248" t="s">
        <v>521</v>
      </c>
      <c r="D248" t="s">
        <v>89</v>
      </c>
      <c r="G248" t="s">
        <v>522</v>
      </c>
      <c r="H248">
        <v>122.4</v>
      </c>
      <c r="I248" t="s">
        <v>524</v>
      </c>
      <c r="J248">
        <v>122400</v>
      </c>
    </row>
    <row r="249" spans="2:10" x14ac:dyDescent="0.2">
      <c r="B249" s="1">
        <v>46107</v>
      </c>
      <c r="C249" t="s">
        <v>21</v>
      </c>
      <c r="D249" t="s">
        <v>89</v>
      </c>
      <c r="G249" t="s">
        <v>525</v>
      </c>
      <c r="H249">
        <v>120.075</v>
      </c>
      <c r="I249" t="s">
        <v>526</v>
      </c>
      <c r="J249">
        <v>120075</v>
      </c>
    </row>
    <row r="250" spans="2:10" x14ac:dyDescent="0.2">
      <c r="B250" s="1">
        <v>46107</v>
      </c>
      <c r="C250" t="s">
        <v>21</v>
      </c>
      <c r="D250" t="s">
        <v>89</v>
      </c>
      <c r="G250" t="s">
        <v>527</v>
      </c>
      <c r="H250">
        <v>13.87</v>
      </c>
      <c r="I250" t="s">
        <v>528</v>
      </c>
      <c r="J250">
        <v>13870</v>
      </c>
    </row>
    <row r="251" spans="2:10" x14ac:dyDescent="0.2">
      <c r="B251" s="1">
        <v>46107</v>
      </c>
      <c r="C251" t="s">
        <v>148</v>
      </c>
      <c r="D251" t="s">
        <v>94</v>
      </c>
      <c r="G251" t="s">
        <v>529</v>
      </c>
      <c r="H251">
        <v>-14.061999999999999</v>
      </c>
      <c r="I251" t="s">
        <v>528</v>
      </c>
      <c r="J251">
        <v>14062</v>
      </c>
    </row>
    <row r="252" spans="2:10" x14ac:dyDescent="0.2">
      <c r="B252" s="1">
        <v>46107</v>
      </c>
      <c r="C252" t="s">
        <v>159</v>
      </c>
      <c r="D252" t="s">
        <v>89</v>
      </c>
      <c r="G252" t="s">
        <v>530</v>
      </c>
      <c r="H252">
        <v>3.6</v>
      </c>
      <c r="I252" t="s">
        <v>531</v>
      </c>
      <c r="J252">
        <v>3600</v>
      </c>
    </row>
    <row r="253" spans="2:10" x14ac:dyDescent="0.2">
      <c r="B253" s="1">
        <v>46108</v>
      </c>
      <c r="C253" t="s">
        <v>263</v>
      </c>
      <c r="D253" t="s">
        <v>89</v>
      </c>
      <c r="G253" t="s">
        <v>532</v>
      </c>
      <c r="H253">
        <v>44.1</v>
      </c>
      <c r="I253" t="s">
        <v>533</v>
      </c>
      <c r="J253">
        <v>44100</v>
      </c>
    </row>
    <row r="254" spans="2:10" x14ac:dyDescent="0.2">
      <c r="B254" s="1">
        <v>46108</v>
      </c>
      <c r="C254" t="s">
        <v>148</v>
      </c>
      <c r="D254" t="s">
        <v>89</v>
      </c>
      <c r="G254" t="s">
        <v>534</v>
      </c>
      <c r="H254">
        <v>20.541</v>
      </c>
      <c r="I254" t="s">
        <v>357</v>
      </c>
      <c r="J254">
        <v>20541</v>
      </c>
    </row>
    <row r="255" spans="2:10" x14ac:dyDescent="0.2">
      <c r="B255" s="1">
        <v>46108</v>
      </c>
      <c r="C255" t="s">
        <v>170</v>
      </c>
      <c r="D255" t="s">
        <v>94</v>
      </c>
      <c r="G255" t="s">
        <v>535</v>
      </c>
      <c r="H255">
        <v>-6.5469999999999997</v>
      </c>
      <c r="I255" t="s">
        <v>536</v>
      </c>
      <c r="J255">
        <v>6547</v>
      </c>
    </row>
    <row r="256" spans="2:10" x14ac:dyDescent="0.2">
      <c r="B256" s="1">
        <v>46108</v>
      </c>
      <c r="C256" t="s">
        <v>537</v>
      </c>
      <c r="D256" t="s">
        <v>94</v>
      </c>
      <c r="G256" t="s">
        <v>538</v>
      </c>
      <c r="H256">
        <v>-39.345999999999997</v>
      </c>
      <c r="I256" t="s">
        <v>539</v>
      </c>
      <c r="J256">
        <v>39346</v>
      </c>
    </row>
    <row r="257" spans="2:10" x14ac:dyDescent="0.2">
      <c r="B257" s="1">
        <v>46108</v>
      </c>
      <c r="C257" t="s">
        <v>537</v>
      </c>
      <c r="D257" t="s">
        <v>89</v>
      </c>
      <c r="G257" t="s">
        <v>538</v>
      </c>
      <c r="H257">
        <v>39.345999999999997</v>
      </c>
      <c r="I257" t="s">
        <v>539</v>
      </c>
      <c r="J257">
        <v>39346</v>
      </c>
    </row>
    <row r="258" spans="2:10" x14ac:dyDescent="0.2">
      <c r="B258" s="1">
        <v>46108</v>
      </c>
      <c r="C258" t="s">
        <v>263</v>
      </c>
      <c r="D258" t="s">
        <v>94</v>
      </c>
      <c r="G258" t="s">
        <v>149</v>
      </c>
      <c r="H258">
        <v>-40</v>
      </c>
      <c r="I258" t="s">
        <v>539</v>
      </c>
      <c r="J258">
        <v>40000</v>
      </c>
    </row>
    <row r="259" spans="2:10" x14ac:dyDescent="0.2">
      <c r="B259" s="1">
        <v>46108</v>
      </c>
      <c r="C259" t="s">
        <v>132</v>
      </c>
      <c r="D259" t="s">
        <v>94</v>
      </c>
      <c r="G259" t="s">
        <v>540</v>
      </c>
      <c r="H259">
        <v>-654</v>
      </c>
      <c r="I259" t="s">
        <v>541</v>
      </c>
      <c r="J259">
        <v>654</v>
      </c>
    </row>
    <row r="260" spans="2:10" x14ac:dyDescent="0.2">
      <c r="B260" s="1">
        <v>46108</v>
      </c>
      <c r="C260" t="s">
        <v>542</v>
      </c>
      <c r="D260" t="s">
        <v>89</v>
      </c>
      <c r="G260" t="s">
        <v>540</v>
      </c>
      <c r="H260">
        <v>654</v>
      </c>
      <c r="I260" t="s">
        <v>541</v>
      </c>
      <c r="J260">
        <v>654</v>
      </c>
    </row>
    <row r="261" spans="2:10" x14ac:dyDescent="0.2">
      <c r="B261" s="1">
        <v>46108</v>
      </c>
      <c r="C261" t="s">
        <v>132</v>
      </c>
      <c r="D261" t="s">
        <v>94</v>
      </c>
      <c r="G261" t="s">
        <v>157</v>
      </c>
      <c r="H261">
        <v>-10</v>
      </c>
      <c r="I261" t="s">
        <v>158</v>
      </c>
      <c r="J261">
        <v>10000</v>
      </c>
    </row>
    <row r="262" spans="2:10" x14ac:dyDescent="0.2">
      <c r="B262" s="1">
        <v>46108</v>
      </c>
      <c r="C262" t="s">
        <v>271</v>
      </c>
      <c r="D262" t="s">
        <v>94</v>
      </c>
      <c r="G262" t="s">
        <v>543</v>
      </c>
      <c r="H262">
        <v>-497.32799999999997</v>
      </c>
      <c r="I262" t="s">
        <v>544</v>
      </c>
      <c r="J262">
        <v>497328</v>
      </c>
    </row>
    <row r="263" spans="2:10" x14ac:dyDescent="0.2">
      <c r="B263" s="1">
        <v>46108</v>
      </c>
      <c r="C263" t="s">
        <v>271</v>
      </c>
      <c r="D263" t="s">
        <v>89</v>
      </c>
      <c r="G263" t="s">
        <v>545</v>
      </c>
      <c r="H263">
        <v>493.25</v>
      </c>
      <c r="I263" t="s">
        <v>546</v>
      </c>
      <c r="J263">
        <v>493250</v>
      </c>
    </row>
    <row r="264" spans="2:10" x14ac:dyDescent="0.2">
      <c r="B264" s="1">
        <v>46108</v>
      </c>
      <c r="C264" t="s">
        <v>547</v>
      </c>
      <c r="D264" t="s">
        <v>89</v>
      </c>
      <c r="G264" t="s">
        <v>548</v>
      </c>
      <c r="H264">
        <v>1.25</v>
      </c>
      <c r="I264" t="s">
        <v>549</v>
      </c>
      <c r="J264">
        <v>1250</v>
      </c>
    </row>
    <row r="265" spans="2:10" x14ac:dyDescent="0.2">
      <c r="B265" s="1">
        <v>46108</v>
      </c>
      <c r="C265" t="s">
        <v>550</v>
      </c>
      <c r="D265" t="s">
        <v>89</v>
      </c>
      <c r="G265" t="s">
        <v>551</v>
      </c>
      <c r="H265">
        <v>10.199999999999999</v>
      </c>
      <c r="J265">
        <v>10200</v>
      </c>
    </row>
    <row r="266" spans="2:10" x14ac:dyDescent="0.2">
      <c r="B266" s="1">
        <v>46108</v>
      </c>
      <c r="C266" t="s">
        <v>144</v>
      </c>
      <c r="D266" t="s">
        <v>94</v>
      </c>
      <c r="G266" t="s">
        <v>552</v>
      </c>
      <c r="H266">
        <v>-9.5</v>
      </c>
      <c r="I266" t="s">
        <v>553</v>
      </c>
      <c r="J266">
        <v>9500</v>
      </c>
    </row>
    <row r="267" spans="2:10" x14ac:dyDescent="0.2">
      <c r="B267" s="1">
        <v>46108</v>
      </c>
      <c r="C267" t="s">
        <v>271</v>
      </c>
      <c r="D267" t="s">
        <v>89</v>
      </c>
      <c r="G267" t="s">
        <v>554</v>
      </c>
      <c r="H267">
        <v>19.492999999999999</v>
      </c>
      <c r="I267" t="s">
        <v>555</v>
      </c>
      <c r="J267">
        <v>19493</v>
      </c>
    </row>
    <row r="268" spans="2:10" x14ac:dyDescent="0.2">
      <c r="B268" s="1">
        <v>46108</v>
      </c>
      <c r="C268" t="s">
        <v>550</v>
      </c>
      <c r="D268" t="s">
        <v>94</v>
      </c>
      <c r="G268" t="s">
        <v>551</v>
      </c>
      <c r="H268">
        <v>-10.199999999999999</v>
      </c>
      <c r="I268" t="s">
        <v>556</v>
      </c>
      <c r="J268">
        <v>10200</v>
      </c>
    </row>
    <row r="269" spans="2:10" x14ac:dyDescent="0.2">
      <c r="B269" s="1">
        <v>46108</v>
      </c>
      <c r="C269" t="s">
        <v>271</v>
      </c>
      <c r="D269" t="s">
        <v>89</v>
      </c>
      <c r="G269" t="s">
        <v>557</v>
      </c>
      <c r="H269">
        <v>10.050000000000001</v>
      </c>
      <c r="I269" t="s">
        <v>558</v>
      </c>
      <c r="J269">
        <v>10050</v>
      </c>
    </row>
    <row r="270" spans="2:10" x14ac:dyDescent="0.2">
      <c r="B270" s="1">
        <v>46108</v>
      </c>
      <c r="C270" t="s">
        <v>547</v>
      </c>
      <c r="D270" t="s">
        <v>89</v>
      </c>
      <c r="G270" t="s">
        <v>559</v>
      </c>
      <c r="H270">
        <v>50</v>
      </c>
      <c r="I270" t="s">
        <v>313</v>
      </c>
      <c r="J270">
        <v>50</v>
      </c>
    </row>
    <row r="271" spans="2:10" x14ac:dyDescent="0.2">
      <c r="B271" s="1">
        <v>46108</v>
      </c>
      <c r="C271" t="s">
        <v>271</v>
      </c>
      <c r="D271" t="s">
        <v>89</v>
      </c>
      <c r="G271" t="s">
        <v>560</v>
      </c>
      <c r="H271">
        <v>2.8849999999999998</v>
      </c>
      <c r="I271" t="s">
        <v>561</v>
      </c>
      <c r="J271">
        <v>2885</v>
      </c>
    </row>
    <row r="272" spans="2:10" x14ac:dyDescent="0.2">
      <c r="B272" s="1">
        <v>46108</v>
      </c>
      <c r="C272" t="s">
        <v>439</v>
      </c>
      <c r="D272" t="s">
        <v>94</v>
      </c>
      <c r="G272" t="s">
        <v>562</v>
      </c>
      <c r="H272">
        <v>-3.0129999999999999</v>
      </c>
      <c r="I272" t="s">
        <v>563</v>
      </c>
      <c r="J272">
        <v>3013</v>
      </c>
    </row>
    <row r="273" spans="2:10" x14ac:dyDescent="0.2">
      <c r="B273" s="1">
        <v>46111</v>
      </c>
      <c r="C273" t="s">
        <v>187</v>
      </c>
      <c r="D273" t="s">
        <v>89</v>
      </c>
      <c r="G273" t="s">
        <v>564</v>
      </c>
      <c r="H273">
        <v>2.9</v>
      </c>
      <c r="I273" t="s">
        <v>565</v>
      </c>
      <c r="J273">
        <v>2900</v>
      </c>
    </row>
    <row r="274" spans="2:10" x14ac:dyDescent="0.2">
      <c r="B274" s="1">
        <v>46111</v>
      </c>
      <c r="C274" t="s">
        <v>288</v>
      </c>
      <c r="D274" t="s">
        <v>89</v>
      </c>
      <c r="G274" t="s">
        <v>566</v>
      </c>
      <c r="H274">
        <v>5.8</v>
      </c>
      <c r="I274" t="s">
        <v>567</v>
      </c>
      <c r="J274">
        <v>5800</v>
      </c>
    </row>
    <row r="275" spans="2:10" x14ac:dyDescent="0.2">
      <c r="B275" s="1">
        <v>46111</v>
      </c>
      <c r="C275" t="s">
        <v>271</v>
      </c>
      <c r="D275" t="s">
        <v>89</v>
      </c>
      <c r="G275" t="s">
        <v>568</v>
      </c>
      <c r="H275">
        <v>19.350000000000001</v>
      </c>
      <c r="I275" t="s">
        <v>569</v>
      </c>
      <c r="J275">
        <v>19350</v>
      </c>
    </row>
    <row r="276" spans="2:10" x14ac:dyDescent="0.2">
      <c r="B276" s="1">
        <v>46111</v>
      </c>
      <c r="C276" t="s">
        <v>159</v>
      </c>
      <c r="D276" t="s">
        <v>94</v>
      </c>
      <c r="G276" t="s">
        <v>570</v>
      </c>
      <c r="H276">
        <v>-1.1000000000000001</v>
      </c>
      <c r="I276" t="s">
        <v>571</v>
      </c>
      <c r="J276">
        <v>1100</v>
      </c>
    </row>
    <row r="277" spans="2:10" x14ac:dyDescent="0.2">
      <c r="B277" s="1">
        <v>46111</v>
      </c>
      <c r="C277" t="s">
        <v>547</v>
      </c>
      <c r="D277" t="s">
        <v>94</v>
      </c>
      <c r="G277" t="s">
        <v>238</v>
      </c>
      <c r="H277">
        <v>-20</v>
      </c>
      <c r="I277" t="s">
        <v>572</v>
      </c>
      <c r="J277">
        <v>20000</v>
      </c>
    </row>
    <row r="278" spans="2:10" x14ac:dyDescent="0.2">
      <c r="B278" s="1">
        <v>46111</v>
      </c>
      <c r="C278" t="s">
        <v>212</v>
      </c>
      <c r="D278" t="s">
        <v>94</v>
      </c>
      <c r="G278" t="s">
        <v>222</v>
      </c>
      <c r="H278">
        <v>-5.0999999999999996</v>
      </c>
      <c r="I278" t="s">
        <v>573</v>
      </c>
      <c r="J278">
        <v>5100</v>
      </c>
    </row>
    <row r="279" spans="2:10" x14ac:dyDescent="0.2">
      <c r="B279" s="1">
        <v>46111</v>
      </c>
      <c r="C279" t="s">
        <v>433</v>
      </c>
      <c r="D279" t="s">
        <v>89</v>
      </c>
      <c r="G279" t="s">
        <v>574</v>
      </c>
      <c r="H279">
        <v>13.922000000000001</v>
      </c>
      <c r="I279" t="s">
        <v>575</v>
      </c>
      <c r="J279">
        <v>13922</v>
      </c>
    </row>
    <row r="280" spans="2:10" x14ac:dyDescent="0.2">
      <c r="B280" s="1">
        <v>46111</v>
      </c>
      <c r="C280" t="s">
        <v>433</v>
      </c>
      <c r="D280" t="s">
        <v>94</v>
      </c>
      <c r="G280" t="s">
        <v>576</v>
      </c>
      <c r="H280">
        <v>-3.9220000000000002</v>
      </c>
      <c r="I280" t="s">
        <v>577</v>
      </c>
      <c r="J280">
        <v>3922</v>
      </c>
    </row>
    <row r="281" spans="2:10" x14ac:dyDescent="0.2">
      <c r="B281" s="1">
        <v>46111</v>
      </c>
      <c r="C281" t="s">
        <v>271</v>
      </c>
      <c r="D281" t="s">
        <v>89</v>
      </c>
      <c r="G281" t="s">
        <v>578</v>
      </c>
      <c r="H281">
        <v>3.8540000000000001</v>
      </c>
      <c r="I281" t="s">
        <v>579</v>
      </c>
      <c r="J281">
        <v>3854</v>
      </c>
    </row>
    <row r="282" spans="2:10" x14ac:dyDescent="0.2">
      <c r="B282" s="1">
        <v>46111</v>
      </c>
      <c r="C282" t="s">
        <v>299</v>
      </c>
      <c r="D282" t="s">
        <v>94</v>
      </c>
      <c r="G282" t="s">
        <v>580</v>
      </c>
      <c r="H282">
        <v>-14.214</v>
      </c>
      <c r="I282" t="s">
        <v>581</v>
      </c>
      <c r="J282">
        <v>14214</v>
      </c>
    </row>
    <row r="283" spans="2:10" x14ac:dyDescent="0.2">
      <c r="B283" s="1">
        <v>46111</v>
      </c>
      <c r="C283" t="s">
        <v>170</v>
      </c>
      <c r="D283" t="s">
        <v>94</v>
      </c>
      <c r="G283" t="s">
        <v>157</v>
      </c>
      <c r="H283">
        <v>-10</v>
      </c>
      <c r="I283" t="s">
        <v>161</v>
      </c>
      <c r="J283">
        <v>10000</v>
      </c>
    </row>
    <row r="284" spans="2:10" x14ac:dyDescent="0.2">
      <c r="B284" s="1">
        <v>46086</v>
      </c>
      <c r="C284" t="s">
        <v>21</v>
      </c>
      <c r="D284" t="s">
        <v>94</v>
      </c>
      <c r="G284" t="s">
        <v>582</v>
      </c>
      <c r="H284">
        <v>-14.87</v>
      </c>
      <c r="I284" t="s">
        <v>583</v>
      </c>
      <c r="J284">
        <v>14870</v>
      </c>
    </row>
    <row r="285" spans="2:10" x14ac:dyDescent="0.2">
      <c r="B285" s="1">
        <v>46111</v>
      </c>
      <c r="C285" t="s">
        <v>212</v>
      </c>
      <c r="D285" t="s">
        <v>89</v>
      </c>
      <c r="G285" t="s">
        <v>584</v>
      </c>
      <c r="H285">
        <v>1.903</v>
      </c>
      <c r="I285" t="s">
        <v>585</v>
      </c>
      <c r="J285">
        <v>1903</v>
      </c>
    </row>
    <row r="286" spans="2:10" x14ac:dyDescent="0.2">
      <c r="B286" s="1">
        <v>46111</v>
      </c>
      <c r="C286" t="s">
        <v>299</v>
      </c>
      <c r="D286" t="s">
        <v>89</v>
      </c>
      <c r="G286" t="s">
        <v>586</v>
      </c>
      <c r="H286">
        <v>14.215</v>
      </c>
      <c r="I286" t="s">
        <v>587</v>
      </c>
      <c r="J286">
        <v>14215</v>
      </c>
    </row>
    <row r="287" spans="2:10" x14ac:dyDescent="0.2">
      <c r="B287" s="1">
        <v>46111</v>
      </c>
      <c r="C287" t="s">
        <v>271</v>
      </c>
      <c r="D287" t="s">
        <v>89</v>
      </c>
      <c r="G287" t="s">
        <v>368</v>
      </c>
      <c r="H287">
        <v>5.0250000000000004</v>
      </c>
      <c r="I287" t="s">
        <v>588</v>
      </c>
      <c r="J287">
        <v>5025</v>
      </c>
    </row>
    <row r="288" spans="2:10" x14ac:dyDescent="0.2">
      <c r="B288" s="1">
        <v>46112</v>
      </c>
      <c r="C288" t="s">
        <v>31</v>
      </c>
      <c r="D288" t="s">
        <v>89</v>
      </c>
      <c r="G288" t="s">
        <v>589</v>
      </c>
      <c r="H288">
        <v>7.8449999999999998</v>
      </c>
      <c r="I288" t="s">
        <v>590</v>
      </c>
      <c r="J288">
        <v>7845</v>
      </c>
    </row>
    <row r="289" spans="2:10" x14ac:dyDescent="0.2">
      <c r="B289" s="1">
        <v>46112</v>
      </c>
      <c r="C289" t="s">
        <v>271</v>
      </c>
      <c r="D289" t="s">
        <v>94</v>
      </c>
      <c r="G289" t="s">
        <v>591</v>
      </c>
      <c r="H289">
        <v>-7.9050000000000002</v>
      </c>
      <c r="I289" t="s">
        <v>592</v>
      </c>
      <c r="J289">
        <v>7905</v>
      </c>
    </row>
    <row r="290" spans="2:10" x14ac:dyDescent="0.2">
      <c r="B290" s="1">
        <v>46112</v>
      </c>
      <c r="C290" t="s">
        <v>547</v>
      </c>
      <c r="D290" t="s">
        <v>89</v>
      </c>
      <c r="G290" t="s">
        <v>593</v>
      </c>
      <c r="H290">
        <v>7.88</v>
      </c>
      <c r="I290" t="s">
        <v>594</v>
      </c>
      <c r="J290">
        <v>7880</v>
      </c>
    </row>
    <row r="291" spans="2:10" x14ac:dyDescent="0.2">
      <c r="B291" s="1">
        <v>46112</v>
      </c>
      <c r="C291" t="s">
        <v>271</v>
      </c>
      <c r="D291" t="s">
        <v>94</v>
      </c>
      <c r="G291" t="s">
        <v>595</v>
      </c>
      <c r="H291">
        <v>-7.96</v>
      </c>
      <c r="I291" t="s">
        <v>547</v>
      </c>
      <c r="J291">
        <v>7960</v>
      </c>
    </row>
    <row r="292" spans="2:10" x14ac:dyDescent="0.2">
      <c r="B292" s="1">
        <v>46112</v>
      </c>
      <c r="C292" t="s">
        <v>288</v>
      </c>
      <c r="D292" t="s">
        <v>94</v>
      </c>
      <c r="G292" t="s">
        <v>566</v>
      </c>
      <c r="H292">
        <v>-5.8</v>
      </c>
      <c r="I292" t="s">
        <v>596</v>
      </c>
      <c r="J292">
        <v>5800</v>
      </c>
    </row>
    <row r="293" spans="2:10" x14ac:dyDescent="0.2">
      <c r="B293" s="1">
        <v>46112</v>
      </c>
      <c r="C293" t="s">
        <v>271</v>
      </c>
      <c r="D293" t="s">
        <v>94</v>
      </c>
      <c r="G293" t="s">
        <v>597</v>
      </c>
      <c r="H293">
        <v>-5.92</v>
      </c>
      <c r="I293" t="s">
        <v>598</v>
      </c>
      <c r="J293">
        <v>5920</v>
      </c>
    </row>
    <row r="294" spans="2:10" x14ac:dyDescent="0.2">
      <c r="B294" s="1">
        <v>46112</v>
      </c>
      <c r="C294" t="s">
        <v>309</v>
      </c>
      <c r="D294" t="s">
        <v>89</v>
      </c>
      <c r="G294" t="s">
        <v>599</v>
      </c>
      <c r="H294">
        <v>3.7879999999999998</v>
      </c>
      <c r="I294" t="s">
        <v>600</v>
      </c>
      <c r="J294">
        <v>3788</v>
      </c>
    </row>
    <row r="295" spans="2:10" x14ac:dyDescent="0.2">
      <c r="B295" s="1">
        <v>46112</v>
      </c>
      <c r="C295" t="s">
        <v>271</v>
      </c>
      <c r="D295" t="s">
        <v>94</v>
      </c>
      <c r="G295" t="s">
        <v>601</v>
      </c>
      <c r="H295">
        <v>-3.8460000000000001</v>
      </c>
      <c r="I295" t="s">
        <v>602</v>
      </c>
      <c r="J295">
        <v>3846</v>
      </c>
    </row>
    <row r="296" spans="2:10" x14ac:dyDescent="0.2">
      <c r="B296" s="1">
        <v>46112</v>
      </c>
      <c r="C296" t="s">
        <v>388</v>
      </c>
      <c r="D296" t="s">
        <v>89</v>
      </c>
      <c r="G296" t="s">
        <v>603</v>
      </c>
      <c r="H296">
        <v>996</v>
      </c>
      <c r="I296" t="s">
        <v>604</v>
      </c>
      <c r="J296">
        <v>996</v>
      </c>
    </row>
    <row r="297" spans="2:10" x14ac:dyDescent="0.2">
      <c r="B297" s="1">
        <v>46112</v>
      </c>
      <c r="C297" t="s">
        <v>605</v>
      </c>
      <c r="D297" t="s">
        <v>94</v>
      </c>
      <c r="G297" t="s">
        <v>606</v>
      </c>
      <c r="H297">
        <v>-1.05</v>
      </c>
      <c r="I297" t="s">
        <v>607</v>
      </c>
      <c r="J297">
        <v>1050</v>
      </c>
    </row>
    <row r="298" spans="2:10" x14ac:dyDescent="0.2">
      <c r="B298" s="1">
        <v>46112</v>
      </c>
      <c r="C298" t="s">
        <v>150</v>
      </c>
      <c r="D298" t="s">
        <v>94</v>
      </c>
      <c r="G298" t="s">
        <v>608</v>
      </c>
      <c r="H298">
        <v>-27</v>
      </c>
      <c r="I298" t="s">
        <v>609</v>
      </c>
      <c r="J298">
        <v>27000</v>
      </c>
    </row>
    <row r="299" spans="2:10" x14ac:dyDescent="0.2">
      <c r="B299" s="1">
        <v>46112</v>
      </c>
      <c r="C299" t="s">
        <v>610</v>
      </c>
      <c r="D299" t="s">
        <v>89</v>
      </c>
      <c r="G299" t="s">
        <v>608</v>
      </c>
      <c r="H299">
        <v>27</v>
      </c>
      <c r="I299" t="s">
        <v>150</v>
      </c>
      <c r="J299">
        <v>27000</v>
      </c>
    </row>
    <row r="300" spans="2:10" x14ac:dyDescent="0.2">
      <c r="B300" s="1">
        <v>46112</v>
      </c>
      <c r="C300" t="s">
        <v>610</v>
      </c>
      <c r="D300" t="s">
        <v>94</v>
      </c>
      <c r="G300" t="s">
        <v>611</v>
      </c>
      <c r="H300">
        <v>-18.158000000000001</v>
      </c>
      <c r="I300" t="s">
        <v>612</v>
      </c>
      <c r="J300">
        <v>18158</v>
      </c>
    </row>
    <row r="301" spans="2:10" x14ac:dyDescent="0.2">
      <c r="B301" s="1">
        <v>46112</v>
      </c>
      <c r="C301" t="s">
        <v>150</v>
      </c>
      <c r="D301" t="s">
        <v>89</v>
      </c>
      <c r="G301" t="s">
        <v>613</v>
      </c>
      <c r="H301">
        <v>17.802</v>
      </c>
      <c r="I301" t="s">
        <v>614</v>
      </c>
      <c r="J301">
        <v>17802</v>
      </c>
    </row>
    <row r="302" spans="2:10" x14ac:dyDescent="0.2">
      <c r="B302" s="1">
        <v>46112</v>
      </c>
      <c r="C302" t="s">
        <v>159</v>
      </c>
      <c r="D302" t="s">
        <v>94</v>
      </c>
      <c r="G302" t="s">
        <v>188</v>
      </c>
      <c r="H302">
        <v>-1.9</v>
      </c>
      <c r="I302" t="s">
        <v>615</v>
      </c>
      <c r="J302">
        <v>1900</v>
      </c>
    </row>
    <row r="303" spans="2:10" x14ac:dyDescent="0.2">
      <c r="B303" s="1">
        <v>46112</v>
      </c>
      <c r="C303" t="s">
        <v>610</v>
      </c>
      <c r="D303" t="s">
        <v>94</v>
      </c>
      <c r="G303" t="s">
        <v>616</v>
      </c>
      <c r="H303">
        <v>-8.8420000000000005</v>
      </c>
      <c r="I303" t="s">
        <v>617</v>
      </c>
      <c r="J303">
        <v>8842</v>
      </c>
    </row>
    <row r="304" spans="2:10" x14ac:dyDescent="0.2">
      <c r="B304" s="1">
        <v>46112</v>
      </c>
      <c r="C304" t="s">
        <v>31</v>
      </c>
      <c r="D304" t="s">
        <v>94</v>
      </c>
      <c r="G304" t="s">
        <v>589</v>
      </c>
      <c r="H304">
        <v>-7.8449999999999998</v>
      </c>
      <c r="I304" t="s">
        <v>618</v>
      </c>
      <c r="J304">
        <v>7845</v>
      </c>
    </row>
    <row r="305" spans="2:10" x14ac:dyDescent="0.2">
      <c r="B305" s="1">
        <v>46112</v>
      </c>
      <c r="C305" t="s">
        <v>542</v>
      </c>
      <c r="D305" t="s">
        <v>89</v>
      </c>
      <c r="G305" t="s">
        <v>179</v>
      </c>
      <c r="H305">
        <v>15.05</v>
      </c>
      <c r="I305" t="s">
        <v>619</v>
      </c>
      <c r="J305">
        <v>15050</v>
      </c>
    </row>
    <row r="306" spans="2:10" x14ac:dyDescent="0.2">
      <c r="B306" s="1">
        <v>46112</v>
      </c>
      <c r="C306" t="s">
        <v>542</v>
      </c>
      <c r="D306" t="s">
        <v>94</v>
      </c>
      <c r="G306" t="s">
        <v>620</v>
      </c>
      <c r="H306">
        <v>-15.7</v>
      </c>
      <c r="I306" t="s">
        <v>621</v>
      </c>
      <c r="J306">
        <v>15700</v>
      </c>
    </row>
    <row r="307" spans="2:10" x14ac:dyDescent="0.2">
      <c r="B307" s="1">
        <v>46113</v>
      </c>
      <c r="C307" t="s">
        <v>388</v>
      </c>
      <c r="D307" t="s">
        <v>94</v>
      </c>
      <c r="G307" t="s">
        <v>603</v>
      </c>
      <c r="H307">
        <v>-996</v>
      </c>
      <c r="I307" t="s">
        <v>622</v>
      </c>
      <c r="J307">
        <v>996</v>
      </c>
    </row>
    <row r="308" spans="2:10" x14ac:dyDescent="0.2">
      <c r="B308" s="1">
        <v>46113</v>
      </c>
      <c r="C308" t="s">
        <v>148</v>
      </c>
      <c r="D308" t="s">
        <v>94</v>
      </c>
      <c r="G308" t="s">
        <v>623</v>
      </c>
      <c r="H308">
        <v>-13.227</v>
      </c>
      <c r="I308" t="s">
        <v>624</v>
      </c>
      <c r="J308">
        <v>13227</v>
      </c>
    </row>
    <row r="309" spans="2:10" x14ac:dyDescent="0.2">
      <c r="B309" s="1">
        <v>46113</v>
      </c>
      <c r="C309" t="s">
        <v>21</v>
      </c>
      <c r="D309" t="s">
        <v>89</v>
      </c>
      <c r="G309" t="s">
        <v>625</v>
      </c>
      <c r="H309">
        <v>13.05</v>
      </c>
      <c r="I309" t="s">
        <v>626</v>
      </c>
      <c r="J309">
        <v>13050</v>
      </c>
    </row>
    <row r="310" spans="2:10" x14ac:dyDescent="0.2">
      <c r="B310" s="1">
        <v>46113</v>
      </c>
      <c r="C310" t="s">
        <v>547</v>
      </c>
      <c r="D310" t="s">
        <v>89</v>
      </c>
      <c r="G310" t="s">
        <v>627</v>
      </c>
      <c r="H310">
        <v>12.115</v>
      </c>
      <c r="I310" t="s">
        <v>628</v>
      </c>
      <c r="J310">
        <v>12115</v>
      </c>
    </row>
    <row r="311" spans="2:10" x14ac:dyDescent="0.2">
      <c r="B311" s="1">
        <v>46113</v>
      </c>
      <c r="C311" t="s">
        <v>271</v>
      </c>
      <c r="D311" t="s">
        <v>94</v>
      </c>
      <c r="G311" t="s">
        <v>629</v>
      </c>
      <c r="H311">
        <v>-12.238</v>
      </c>
      <c r="I311" t="s">
        <v>630</v>
      </c>
      <c r="J311">
        <v>12238</v>
      </c>
    </row>
    <row r="312" spans="2:10" x14ac:dyDescent="0.2">
      <c r="B312" s="1">
        <v>46113</v>
      </c>
      <c r="C312" t="s">
        <v>271</v>
      </c>
      <c r="D312" t="s">
        <v>89</v>
      </c>
      <c r="G312" t="s">
        <v>631</v>
      </c>
      <c r="H312">
        <v>100</v>
      </c>
      <c r="I312" t="s">
        <v>632</v>
      </c>
      <c r="J312">
        <v>100</v>
      </c>
    </row>
    <row r="313" spans="2:10" x14ac:dyDescent="0.2">
      <c r="B313" s="1">
        <v>46113</v>
      </c>
      <c r="C313" t="s">
        <v>605</v>
      </c>
      <c r="D313" t="s">
        <v>89</v>
      </c>
      <c r="G313" t="s">
        <v>606</v>
      </c>
      <c r="H313">
        <v>1.05</v>
      </c>
      <c r="I313" t="s">
        <v>633</v>
      </c>
      <c r="J313">
        <v>1050</v>
      </c>
    </row>
    <row r="314" spans="2:10" x14ac:dyDescent="0.2">
      <c r="B314" s="1">
        <v>46114</v>
      </c>
      <c r="C314" t="s">
        <v>21</v>
      </c>
      <c r="D314" t="s">
        <v>89</v>
      </c>
      <c r="G314" t="s">
        <v>634</v>
      </c>
      <c r="H314">
        <v>198.75</v>
      </c>
      <c r="I314" t="s">
        <v>635</v>
      </c>
      <c r="J314">
        <v>198750</v>
      </c>
    </row>
    <row r="315" spans="2:10" x14ac:dyDescent="0.2">
      <c r="B315" s="1">
        <v>46118</v>
      </c>
      <c r="C315" t="s">
        <v>187</v>
      </c>
      <c r="D315" t="s">
        <v>94</v>
      </c>
      <c r="G315" t="s">
        <v>636</v>
      </c>
      <c r="H315">
        <v>-1.7</v>
      </c>
      <c r="I315" t="s">
        <v>637</v>
      </c>
      <c r="J315">
        <v>1700</v>
      </c>
    </row>
    <row r="316" spans="2:10" x14ac:dyDescent="0.2">
      <c r="B316" s="1">
        <v>46118</v>
      </c>
      <c r="C316" t="s">
        <v>159</v>
      </c>
      <c r="D316" t="s">
        <v>94</v>
      </c>
      <c r="G316" t="s">
        <v>638</v>
      </c>
      <c r="H316">
        <v>-800</v>
      </c>
      <c r="I316" t="s">
        <v>637</v>
      </c>
      <c r="J316">
        <v>800</v>
      </c>
    </row>
    <row r="317" spans="2:10" x14ac:dyDescent="0.2">
      <c r="B317" s="1">
        <v>46118</v>
      </c>
      <c r="C317" t="s">
        <v>159</v>
      </c>
      <c r="D317" t="s">
        <v>89</v>
      </c>
      <c r="G317" t="s">
        <v>639</v>
      </c>
      <c r="H317">
        <v>3.5</v>
      </c>
      <c r="I317" t="s">
        <v>531</v>
      </c>
      <c r="J317">
        <v>3500</v>
      </c>
    </row>
    <row r="318" spans="2:10" x14ac:dyDescent="0.2">
      <c r="B318" s="1">
        <v>46118</v>
      </c>
      <c r="C318" t="s">
        <v>21</v>
      </c>
      <c r="D318" t="s">
        <v>94</v>
      </c>
      <c r="G318" t="s">
        <v>640</v>
      </c>
      <c r="H318">
        <v>-2.93</v>
      </c>
      <c r="I318" t="s">
        <v>641</v>
      </c>
      <c r="J318">
        <v>2930</v>
      </c>
    </row>
    <row r="319" spans="2:10" x14ac:dyDescent="0.2">
      <c r="B319" s="1">
        <v>46118</v>
      </c>
      <c r="C319" t="s">
        <v>97</v>
      </c>
      <c r="D319" t="s">
        <v>89</v>
      </c>
      <c r="G319" t="s">
        <v>642</v>
      </c>
      <c r="H319">
        <v>2.8450000000000002</v>
      </c>
      <c r="I319" t="s">
        <v>641</v>
      </c>
      <c r="J319">
        <v>2845</v>
      </c>
    </row>
    <row r="320" spans="2:10" x14ac:dyDescent="0.2">
      <c r="B320" s="1">
        <v>46118</v>
      </c>
      <c r="C320" t="s">
        <v>148</v>
      </c>
      <c r="D320" t="s">
        <v>94</v>
      </c>
      <c r="G320" t="s">
        <v>643</v>
      </c>
      <c r="H320">
        <v>-4.7629999999999999</v>
      </c>
      <c r="I320" t="s">
        <v>644</v>
      </c>
      <c r="J320">
        <v>4763</v>
      </c>
    </row>
    <row r="321" spans="2:10" x14ac:dyDescent="0.2">
      <c r="B321" s="1">
        <v>46118</v>
      </c>
      <c r="C321" t="s">
        <v>31</v>
      </c>
      <c r="D321" t="s">
        <v>89</v>
      </c>
      <c r="G321" t="s">
        <v>645</v>
      </c>
      <c r="H321">
        <v>4.63</v>
      </c>
      <c r="I321" t="s">
        <v>646</v>
      </c>
      <c r="J321">
        <v>4630</v>
      </c>
    </row>
    <row r="322" spans="2:10" x14ac:dyDescent="0.2">
      <c r="B322" s="1">
        <v>46118</v>
      </c>
      <c r="C322" t="s">
        <v>97</v>
      </c>
      <c r="D322" t="s">
        <v>94</v>
      </c>
      <c r="G322" t="s">
        <v>642</v>
      </c>
      <c r="H322">
        <v>-2.8450000000000002</v>
      </c>
      <c r="I322" t="s">
        <v>647</v>
      </c>
      <c r="J322">
        <v>2845</v>
      </c>
    </row>
    <row r="323" spans="2:10" x14ac:dyDescent="0.2">
      <c r="B323" s="1">
        <v>46119</v>
      </c>
      <c r="C323" t="s">
        <v>148</v>
      </c>
      <c r="D323" t="s">
        <v>89</v>
      </c>
      <c r="G323" t="s">
        <v>648</v>
      </c>
      <c r="H323">
        <v>17.98</v>
      </c>
      <c r="I323" t="s">
        <v>649</v>
      </c>
      <c r="J323">
        <v>17980</v>
      </c>
    </row>
    <row r="324" spans="2:10" x14ac:dyDescent="0.2">
      <c r="B324" s="1">
        <v>46119</v>
      </c>
      <c r="C324" t="s">
        <v>271</v>
      </c>
      <c r="D324" t="s">
        <v>94</v>
      </c>
      <c r="G324" t="s">
        <v>258</v>
      </c>
      <c r="H324">
        <v>-1.2</v>
      </c>
      <c r="I324" t="s">
        <v>328</v>
      </c>
      <c r="J324">
        <v>1200</v>
      </c>
    </row>
    <row r="325" spans="2:10" x14ac:dyDescent="0.2">
      <c r="B325" s="1">
        <v>46119</v>
      </c>
      <c r="C325" t="s">
        <v>271</v>
      </c>
      <c r="D325" t="s">
        <v>94</v>
      </c>
      <c r="G325" t="s">
        <v>650</v>
      </c>
      <c r="H325">
        <v>-13.115</v>
      </c>
      <c r="I325" t="s">
        <v>651</v>
      </c>
      <c r="J325">
        <v>13115</v>
      </c>
    </row>
    <row r="326" spans="2:10" x14ac:dyDescent="0.2">
      <c r="B326" s="1">
        <v>46119</v>
      </c>
      <c r="C326" t="s">
        <v>21</v>
      </c>
      <c r="D326" t="s">
        <v>94</v>
      </c>
      <c r="G326" t="s">
        <v>652</v>
      </c>
      <c r="H326">
        <v>-25.25</v>
      </c>
      <c r="I326" t="s">
        <v>653</v>
      </c>
      <c r="J326">
        <v>25250</v>
      </c>
    </row>
    <row r="327" spans="2:10" x14ac:dyDescent="0.2">
      <c r="B327" s="1">
        <v>46119</v>
      </c>
      <c r="C327" t="s">
        <v>159</v>
      </c>
      <c r="D327" t="s">
        <v>94</v>
      </c>
      <c r="G327" t="s">
        <v>654</v>
      </c>
      <c r="H327">
        <v>-783</v>
      </c>
      <c r="I327" t="s">
        <v>655</v>
      </c>
      <c r="J327">
        <v>783</v>
      </c>
    </row>
    <row r="328" spans="2:10" x14ac:dyDescent="0.2">
      <c r="B328" s="1">
        <v>46120</v>
      </c>
      <c r="C328" t="s">
        <v>170</v>
      </c>
      <c r="D328" t="s">
        <v>94</v>
      </c>
      <c r="G328" t="s">
        <v>157</v>
      </c>
      <c r="H328">
        <v>-10</v>
      </c>
      <c r="I328" t="s">
        <v>656</v>
      </c>
      <c r="J328">
        <v>10000</v>
      </c>
    </row>
    <row r="329" spans="2:10" x14ac:dyDescent="0.2">
      <c r="B329" s="1">
        <v>46120</v>
      </c>
      <c r="C329" t="s">
        <v>31</v>
      </c>
      <c r="D329" t="s">
        <v>89</v>
      </c>
      <c r="G329" t="s">
        <v>657</v>
      </c>
      <c r="H329">
        <v>15.32</v>
      </c>
      <c r="I329" t="s">
        <v>658</v>
      </c>
      <c r="J329">
        <v>15320</v>
      </c>
    </row>
    <row r="330" spans="2:10" x14ac:dyDescent="0.2">
      <c r="B330" s="1">
        <v>46120</v>
      </c>
      <c r="C330" t="s">
        <v>31</v>
      </c>
      <c r="D330" t="s">
        <v>94</v>
      </c>
      <c r="G330" t="s">
        <v>659</v>
      </c>
      <c r="H330">
        <v>-19.95</v>
      </c>
      <c r="I330" t="s">
        <v>618</v>
      </c>
      <c r="J330">
        <v>19950</v>
      </c>
    </row>
    <row r="331" spans="2:10" x14ac:dyDescent="0.2">
      <c r="B331" s="1">
        <v>46120</v>
      </c>
      <c r="C331" t="s">
        <v>31</v>
      </c>
      <c r="D331" t="s">
        <v>89</v>
      </c>
      <c r="G331" t="s">
        <v>660</v>
      </c>
      <c r="H331">
        <v>467</v>
      </c>
      <c r="I331" t="s">
        <v>661</v>
      </c>
      <c r="J331">
        <v>467</v>
      </c>
    </row>
    <row r="332" spans="2:10" x14ac:dyDescent="0.2">
      <c r="B332" s="1">
        <v>46120</v>
      </c>
      <c r="C332" t="s">
        <v>271</v>
      </c>
      <c r="D332" t="s">
        <v>94</v>
      </c>
      <c r="G332" t="s">
        <v>662</v>
      </c>
      <c r="H332">
        <v>-564</v>
      </c>
      <c r="I332" t="s">
        <v>663</v>
      </c>
      <c r="J332">
        <v>564</v>
      </c>
    </row>
    <row r="333" spans="2:10" x14ac:dyDescent="0.2">
      <c r="B333" s="1">
        <v>46120</v>
      </c>
      <c r="C333" t="s">
        <v>271</v>
      </c>
      <c r="D333" t="s">
        <v>94</v>
      </c>
      <c r="G333" t="s">
        <v>664</v>
      </c>
      <c r="H333">
        <v>-4.1689999999999996</v>
      </c>
      <c r="I333" t="s">
        <v>665</v>
      </c>
      <c r="J333">
        <v>4169</v>
      </c>
    </row>
    <row r="334" spans="2:10" x14ac:dyDescent="0.2">
      <c r="B334" s="1">
        <v>46120</v>
      </c>
      <c r="C334" t="s">
        <v>21</v>
      </c>
      <c r="D334" t="s">
        <v>94</v>
      </c>
      <c r="G334" t="s">
        <v>666</v>
      </c>
      <c r="H334">
        <v>-15.368</v>
      </c>
      <c r="I334" t="s">
        <v>667</v>
      </c>
      <c r="J334">
        <v>15368</v>
      </c>
    </row>
    <row r="335" spans="2:10" x14ac:dyDescent="0.2">
      <c r="B335" s="1">
        <v>46120</v>
      </c>
      <c r="C335" t="s">
        <v>271</v>
      </c>
      <c r="D335" t="s">
        <v>94</v>
      </c>
      <c r="H335">
        <v>0</v>
      </c>
    </row>
    <row r="336" spans="2:10" x14ac:dyDescent="0.2">
      <c r="B336" s="1">
        <v>46120</v>
      </c>
      <c r="C336" t="s">
        <v>148</v>
      </c>
      <c r="D336" t="s">
        <v>89</v>
      </c>
      <c r="G336" t="s">
        <v>668</v>
      </c>
      <c r="H336">
        <v>12.906000000000001</v>
      </c>
      <c r="I336" t="s">
        <v>669</v>
      </c>
      <c r="J336">
        <v>12906</v>
      </c>
    </row>
    <row r="337" spans="2:10" x14ac:dyDescent="0.2">
      <c r="B337" s="1">
        <v>46120</v>
      </c>
      <c r="C337" t="s">
        <v>288</v>
      </c>
      <c r="D337" t="s">
        <v>94</v>
      </c>
      <c r="G337" t="s">
        <v>407</v>
      </c>
      <c r="H337">
        <v>-500</v>
      </c>
      <c r="I337" t="s">
        <v>315</v>
      </c>
      <c r="J337">
        <v>500</v>
      </c>
    </row>
    <row r="338" spans="2:10" x14ac:dyDescent="0.2">
      <c r="B338" s="1">
        <v>46120</v>
      </c>
      <c r="C338" t="s">
        <v>37</v>
      </c>
      <c r="D338" t="s">
        <v>89</v>
      </c>
      <c r="G338" t="s">
        <v>670</v>
      </c>
      <c r="H338">
        <v>4.085</v>
      </c>
      <c r="J338">
        <v>4085</v>
      </c>
    </row>
    <row r="339" spans="2:10" x14ac:dyDescent="0.2">
      <c r="B339" s="1">
        <v>46120</v>
      </c>
      <c r="C339" t="s">
        <v>37</v>
      </c>
      <c r="D339" t="s">
        <v>94</v>
      </c>
      <c r="G339" t="s">
        <v>670</v>
      </c>
      <c r="H339">
        <v>-4.085</v>
      </c>
      <c r="I339" t="s">
        <v>315</v>
      </c>
      <c r="J339">
        <v>4085</v>
      </c>
    </row>
    <row r="340" spans="2:10" x14ac:dyDescent="0.2">
      <c r="B340" s="1">
        <v>46120</v>
      </c>
      <c r="C340" t="s">
        <v>309</v>
      </c>
      <c r="D340" t="s">
        <v>94</v>
      </c>
      <c r="G340" t="s">
        <v>671</v>
      </c>
      <c r="H340">
        <v>-6.06</v>
      </c>
      <c r="I340" t="s">
        <v>672</v>
      </c>
      <c r="J340">
        <v>6060</v>
      </c>
    </row>
    <row r="341" spans="2:10" x14ac:dyDescent="0.2">
      <c r="B341" s="1">
        <v>46120</v>
      </c>
      <c r="C341" t="s">
        <v>439</v>
      </c>
      <c r="D341" t="s">
        <v>89</v>
      </c>
      <c r="G341" t="s">
        <v>673</v>
      </c>
      <c r="H341">
        <v>7.2</v>
      </c>
      <c r="I341" t="s">
        <v>674</v>
      </c>
      <c r="J341">
        <v>7200</v>
      </c>
    </row>
    <row r="342" spans="2:10" x14ac:dyDescent="0.2">
      <c r="B342" s="1">
        <v>45755</v>
      </c>
      <c r="C342" t="s">
        <v>159</v>
      </c>
      <c r="D342" t="s">
        <v>94</v>
      </c>
      <c r="G342" t="s">
        <v>638</v>
      </c>
      <c r="H342">
        <v>-800</v>
      </c>
      <c r="I342" t="s">
        <v>675</v>
      </c>
      <c r="J342">
        <v>800</v>
      </c>
    </row>
    <row r="343" spans="2:10" x14ac:dyDescent="0.2">
      <c r="B343" s="1">
        <v>46120</v>
      </c>
      <c r="C343" t="s">
        <v>31</v>
      </c>
      <c r="D343" t="s">
        <v>94</v>
      </c>
      <c r="G343" t="s">
        <v>676</v>
      </c>
      <c r="H343">
        <v>-6.12</v>
      </c>
      <c r="I343" t="s">
        <v>677</v>
      </c>
      <c r="J343">
        <v>6120</v>
      </c>
    </row>
    <row r="344" spans="2:10" x14ac:dyDescent="0.2">
      <c r="B344" s="1">
        <v>46120</v>
      </c>
      <c r="C344" t="s">
        <v>21</v>
      </c>
      <c r="D344" t="s">
        <v>89</v>
      </c>
      <c r="G344" t="s">
        <v>678</v>
      </c>
      <c r="H344">
        <v>6.05</v>
      </c>
      <c r="I344" t="s">
        <v>679</v>
      </c>
      <c r="J344">
        <v>6050</v>
      </c>
    </row>
    <row r="345" spans="2:10" x14ac:dyDescent="0.2">
      <c r="B345" s="1">
        <v>46120</v>
      </c>
      <c r="C345" t="s">
        <v>148</v>
      </c>
      <c r="D345" t="s">
        <v>94</v>
      </c>
      <c r="G345" t="s">
        <v>668</v>
      </c>
      <c r="H345">
        <v>-12.906000000000001</v>
      </c>
      <c r="I345" t="s">
        <v>680</v>
      </c>
      <c r="J345">
        <v>12906</v>
      </c>
    </row>
    <row r="346" spans="2:10" x14ac:dyDescent="0.2">
      <c r="B346" s="1">
        <v>46121</v>
      </c>
      <c r="C346" t="s">
        <v>21</v>
      </c>
      <c r="D346" t="s">
        <v>94</v>
      </c>
      <c r="G346" t="s">
        <v>681</v>
      </c>
      <c r="H346">
        <v>-205</v>
      </c>
      <c r="I346" t="s">
        <v>682</v>
      </c>
      <c r="J346">
        <v>205000</v>
      </c>
    </row>
    <row r="347" spans="2:10" x14ac:dyDescent="0.2">
      <c r="B347" s="1">
        <v>46121</v>
      </c>
      <c r="C347" t="s">
        <v>31</v>
      </c>
      <c r="D347" t="s">
        <v>89</v>
      </c>
      <c r="G347" t="s">
        <v>683</v>
      </c>
      <c r="H347">
        <v>5.65</v>
      </c>
      <c r="I347" t="s">
        <v>684</v>
      </c>
      <c r="J347">
        <v>5650</v>
      </c>
    </row>
    <row r="348" spans="2:10" x14ac:dyDescent="0.2">
      <c r="B348" s="1">
        <v>46121</v>
      </c>
      <c r="C348" t="s">
        <v>97</v>
      </c>
      <c r="D348" t="s">
        <v>89</v>
      </c>
      <c r="G348" t="s">
        <v>685</v>
      </c>
      <c r="H348">
        <v>9.8350000000000009</v>
      </c>
      <c r="I348" t="s">
        <v>658</v>
      </c>
      <c r="J348">
        <v>9835</v>
      </c>
    </row>
    <row r="349" spans="2:10" x14ac:dyDescent="0.2">
      <c r="B349" s="1">
        <v>46121</v>
      </c>
      <c r="C349" t="s">
        <v>686</v>
      </c>
      <c r="D349" t="s">
        <v>94</v>
      </c>
      <c r="G349" t="s">
        <v>685</v>
      </c>
      <c r="H349">
        <v>-9.8350000000000009</v>
      </c>
      <c r="I349" t="s">
        <v>687</v>
      </c>
      <c r="J349">
        <v>9835</v>
      </c>
    </row>
    <row r="350" spans="2:10" x14ac:dyDescent="0.2">
      <c r="B350" s="1">
        <v>46121</v>
      </c>
      <c r="C350" t="s">
        <v>271</v>
      </c>
      <c r="D350" t="s">
        <v>94</v>
      </c>
      <c r="G350" t="s">
        <v>688</v>
      </c>
      <c r="H350">
        <v>-9.8849999999999998</v>
      </c>
      <c r="I350" t="s">
        <v>641</v>
      </c>
      <c r="J350">
        <v>9885</v>
      </c>
    </row>
    <row r="351" spans="2:10" x14ac:dyDescent="0.2">
      <c r="B351" s="1">
        <v>46121</v>
      </c>
      <c r="C351" t="s">
        <v>380</v>
      </c>
      <c r="D351" t="s">
        <v>94</v>
      </c>
      <c r="G351" t="s">
        <v>689</v>
      </c>
      <c r="H351">
        <v>-2.2000000000000002</v>
      </c>
      <c r="I351" t="s">
        <v>690</v>
      </c>
      <c r="J351">
        <v>2200</v>
      </c>
    </row>
    <row r="352" spans="2:10" x14ac:dyDescent="0.2">
      <c r="B352" s="1">
        <v>46121</v>
      </c>
      <c r="C352" t="s">
        <v>97</v>
      </c>
      <c r="D352" t="s">
        <v>94</v>
      </c>
      <c r="G352" t="s">
        <v>691</v>
      </c>
      <c r="H352">
        <v>-165</v>
      </c>
      <c r="I352" t="s">
        <v>692</v>
      </c>
      <c r="J352">
        <v>165</v>
      </c>
    </row>
    <row r="353" spans="2:10" x14ac:dyDescent="0.2">
      <c r="B353" s="1">
        <v>46121</v>
      </c>
      <c r="C353" t="s">
        <v>170</v>
      </c>
      <c r="D353" t="s">
        <v>94</v>
      </c>
      <c r="G353" t="s">
        <v>693</v>
      </c>
      <c r="H353">
        <v>-3.65</v>
      </c>
      <c r="I353" t="s">
        <v>694</v>
      </c>
      <c r="J353">
        <v>3650</v>
      </c>
    </row>
    <row r="354" spans="2:10" x14ac:dyDescent="0.2">
      <c r="B354" s="1">
        <v>46121</v>
      </c>
      <c r="C354" t="s">
        <v>271</v>
      </c>
      <c r="D354" t="s">
        <v>94</v>
      </c>
      <c r="G354" t="s">
        <v>695</v>
      </c>
      <c r="H354">
        <v>-13.875</v>
      </c>
      <c r="I354" t="s">
        <v>696</v>
      </c>
      <c r="J354">
        <v>13875</v>
      </c>
    </row>
    <row r="355" spans="2:10" x14ac:dyDescent="0.2">
      <c r="B355" s="1">
        <v>46121</v>
      </c>
      <c r="C355" t="s">
        <v>43</v>
      </c>
      <c r="D355" t="s">
        <v>89</v>
      </c>
      <c r="G355" t="s">
        <v>697</v>
      </c>
      <c r="H355">
        <v>13.666</v>
      </c>
      <c r="I355" t="s">
        <v>698</v>
      </c>
      <c r="J355">
        <v>13666</v>
      </c>
    </row>
    <row r="356" spans="2:10" x14ac:dyDescent="0.2">
      <c r="B356" s="1">
        <v>46121</v>
      </c>
      <c r="C356" t="s">
        <v>43</v>
      </c>
      <c r="D356" t="s">
        <v>94</v>
      </c>
      <c r="G356" t="s">
        <v>699</v>
      </c>
      <c r="H356">
        <v>-13.538</v>
      </c>
      <c r="I356" t="s">
        <v>700</v>
      </c>
      <c r="J356">
        <v>13538</v>
      </c>
    </row>
    <row r="357" spans="2:10" x14ac:dyDescent="0.2">
      <c r="B357" s="1">
        <v>46121</v>
      </c>
      <c r="C357" t="s">
        <v>271</v>
      </c>
      <c r="D357" t="s">
        <v>89</v>
      </c>
      <c r="G357" t="s">
        <v>699</v>
      </c>
      <c r="H357">
        <v>13.538</v>
      </c>
      <c r="I357" t="s">
        <v>701</v>
      </c>
      <c r="J357">
        <v>13538</v>
      </c>
    </row>
    <row r="358" spans="2:10" x14ac:dyDescent="0.2">
      <c r="B358" s="1">
        <v>46122</v>
      </c>
      <c r="C358" t="s">
        <v>488</v>
      </c>
      <c r="D358" t="s">
        <v>89</v>
      </c>
      <c r="G358" t="s">
        <v>702</v>
      </c>
      <c r="H358">
        <v>9.9450000000000003</v>
      </c>
      <c r="I358" t="s">
        <v>703</v>
      </c>
      <c r="J358">
        <v>9945</v>
      </c>
    </row>
    <row r="359" spans="2:10" x14ac:dyDescent="0.2">
      <c r="B359" s="1">
        <v>46122</v>
      </c>
      <c r="C359" t="s">
        <v>547</v>
      </c>
      <c r="D359" t="s">
        <v>94</v>
      </c>
      <c r="G359" t="s">
        <v>704</v>
      </c>
      <c r="H359">
        <v>-460</v>
      </c>
      <c r="I359" t="s">
        <v>705</v>
      </c>
      <c r="J359">
        <v>460</v>
      </c>
    </row>
    <row r="360" spans="2:10" x14ac:dyDescent="0.2">
      <c r="B360" s="1">
        <v>46122</v>
      </c>
      <c r="C360" t="s">
        <v>21</v>
      </c>
      <c r="D360" t="s">
        <v>94</v>
      </c>
      <c r="G360" t="s">
        <v>706</v>
      </c>
      <c r="H360">
        <v>-25.86</v>
      </c>
      <c r="I360" t="s">
        <v>48</v>
      </c>
      <c r="J360">
        <v>25860</v>
      </c>
    </row>
    <row r="361" spans="2:10" x14ac:dyDescent="0.2">
      <c r="B361" s="1">
        <v>46122</v>
      </c>
      <c r="C361" t="s">
        <v>48</v>
      </c>
      <c r="D361" t="s">
        <v>89</v>
      </c>
      <c r="G361" t="s">
        <v>707</v>
      </c>
      <c r="H361">
        <v>25.6</v>
      </c>
      <c r="I361" t="s">
        <v>48</v>
      </c>
      <c r="J361">
        <v>25600</v>
      </c>
    </row>
    <row r="362" spans="2:10" x14ac:dyDescent="0.2">
      <c r="B362" s="1">
        <v>46122</v>
      </c>
      <c r="C362" t="s">
        <v>21</v>
      </c>
      <c r="D362" t="s">
        <v>94</v>
      </c>
      <c r="G362" t="s">
        <v>508</v>
      </c>
      <c r="H362">
        <v>-9.8949999999999996</v>
      </c>
      <c r="I362" t="s">
        <v>708</v>
      </c>
      <c r="J362">
        <v>9895</v>
      </c>
    </row>
    <row r="363" spans="2:10" x14ac:dyDescent="0.2">
      <c r="B363" s="1">
        <v>46122</v>
      </c>
      <c r="C363" t="s">
        <v>542</v>
      </c>
      <c r="D363" t="s">
        <v>94</v>
      </c>
      <c r="G363" t="s">
        <v>130</v>
      </c>
      <c r="H363">
        <v>-20.05</v>
      </c>
      <c r="I363" t="s">
        <v>709</v>
      </c>
      <c r="J363">
        <v>20050</v>
      </c>
    </row>
    <row r="364" spans="2:10" x14ac:dyDescent="0.2">
      <c r="B364" s="1">
        <v>46122</v>
      </c>
      <c r="C364" t="s">
        <v>88</v>
      </c>
      <c r="D364" t="s">
        <v>89</v>
      </c>
      <c r="G364" t="s">
        <v>710</v>
      </c>
      <c r="H364">
        <v>8.9320000000000004</v>
      </c>
      <c r="I364" t="s">
        <v>711</v>
      </c>
      <c r="J364">
        <v>8932</v>
      </c>
    </row>
    <row r="365" spans="2:10" x14ac:dyDescent="0.2">
      <c r="B365" s="1">
        <v>46122</v>
      </c>
      <c r="C365" t="s">
        <v>712</v>
      </c>
      <c r="D365" t="s">
        <v>94</v>
      </c>
      <c r="G365" t="s">
        <v>355</v>
      </c>
      <c r="H365">
        <v>-9.15</v>
      </c>
      <c r="I365" t="s">
        <v>713</v>
      </c>
      <c r="J365">
        <v>9150</v>
      </c>
    </row>
    <row r="366" spans="2:10" x14ac:dyDescent="0.2">
      <c r="B366" s="1">
        <v>46122</v>
      </c>
      <c r="C366" t="s">
        <v>21</v>
      </c>
      <c r="D366" t="s">
        <v>94</v>
      </c>
      <c r="G366" t="s">
        <v>714</v>
      </c>
      <c r="H366">
        <v>-57.42</v>
      </c>
      <c r="I366" t="s">
        <v>51</v>
      </c>
      <c r="J366">
        <v>57420</v>
      </c>
    </row>
    <row r="367" spans="2:10" x14ac:dyDescent="0.2">
      <c r="B367" s="1">
        <v>46122</v>
      </c>
      <c r="C367" t="s">
        <v>51</v>
      </c>
      <c r="D367" t="s">
        <v>89</v>
      </c>
      <c r="G367" t="s">
        <v>715</v>
      </c>
      <c r="H367">
        <v>56.554000000000002</v>
      </c>
      <c r="I367" t="s">
        <v>51</v>
      </c>
      <c r="J367">
        <v>56554</v>
      </c>
    </row>
    <row r="368" spans="2:10" x14ac:dyDescent="0.2">
      <c r="B368" s="1">
        <v>46122</v>
      </c>
      <c r="C368" t="s">
        <v>21</v>
      </c>
      <c r="D368" t="s">
        <v>89</v>
      </c>
      <c r="G368" t="s">
        <v>716</v>
      </c>
      <c r="H368">
        <v>1.03</v>
      </c>
      <c r="I368" t="s">
        <v>717</v>
      </c>
      <c r="J368">
        <v>1030</v>
      </c>
    </row>
    <row r="369" spans="2:10" x14ac:dyDescent="0.2">
      <c r="B369" s="1">
        <v>46122</v>
      </c>
      <c r="C369" t="s">
        <v>55</v>
      </c>
      <c r="D369" t="s">
        <v>94</v>
      </c>
      <c r="G369" t="s">
        <v>208</v>
      </c>
      <c r="H369">
        <v>-15.3</v>
      </c>
      <c r="I369" t="s">
        <v>718</v>
      </c>
      <c r="J369">
        <v>15300</v>
      </c>
    </row>
    <row r="370" spans="2:10" x14ac:dyDescent="0.2">
      <c r="B370" s="1">
        <v>46122</v>
      </c>
      <c r="C370" t="s">
        <v>21</v>
      </c>
      <c r="D370" t="s">
        <v>89</v>
      </c>
      <c r="G370" t="s">
        <v>719</v>
      </c>
      <c r="H370">
        <v>15.074999999999999</v>
      </c>
      <c r="I370" t="s">
        <v>718</v>
      </c>
      <c r="J370">
        <v>15075</v>
      </c>
    </row>
    <row r="371" spans="2:10" x14ac:dyDescent="0.2">
      <c r="B371" s="1">
        <v>46122</v>
      </c>
      <c r="C371" t="s">
        <v>271</v>
      </c>
      <c r="D371" t="s">
        <v>89</v>
      </c>
      <c r="G371" t="s">
        <v>715</v>
      </c>
      <c r="H371">
        <v>56.554000000000002</v>
      </c>
      <c r="I371" t="s">
        <v>51</v>
      </c>
      <c r="J371">
        <v>56554</v>
      </c>
    </row>
    <row r="372" spans="2:10" x14ac:dyDescent="0.2">
      <c r="B372" s="1">
        <v>46122</v>
      </c>
      <c r="C372" t="s">
        <v>51</v>
      </c>
      <c r="D372" t="s">
        <v>94</v>
      </c>
      <c r="G372" t="s">
        <v>715</v>
      </c>
      <c r="H372">
        <v>-56.554000000000002</v>
      </c>
      <c r="I372" t="s">
        <v>230</v>
      </c>
      <c r="J372">
        <v>56554</v>
      </c>
    </row>
    <row r="373" spans="2:10" x14ac:dyDescent="0.2">
      <c r="B373" s="1">
        <v>46122</v>
      </c>
      <c r="C373" t="s">
        <v>43</v>
      </c>
      <c r="D373" t="s">
        <v>94</v>
      </c>
      <c r="G373" t="s">
        <v>720</v>
      </c>
      <c r="H373">
        <v>-128</v>
      </c>
      <c r="I373" t="s">
        <v>721</v>
      </c>
      <c r="J373">
        <v>128</v>
      </c>
    </row>
    <row r="374" spans="2:10" x14ac:dyDescent="0.2">
      <c r="B374" s="1">
        <v>46122</v>
      </c>
      <c r="C374" t="s">
        <v>110</v>
      </c>
      <c r="D374" t="s">
        <v>89</v>
      </c>
      <c r="G374" t="s">
        <v>722</v>
      </c>
      <c r="H374">
        <v>2.9079999999999999</v>
      </c>
      <c r="I374" t="s">
        <v>723</v>
      </c>
      <c r="J374">
        <v>2908</v>
      </c>
    </row>
    <row r="375" spans="2:10" x14ac:dyDescent="0.2">
      <c r="B375" s="1">
        <v>46122</v>
      </c>
      <c r="C375" t="s">
        <v>148</v>
      </c>
      <c r="D375" t="s">
        <v>94</v>
      </c>
      <c r="G375" t="s">
        <v>724</v>
      </c>
      <c r="H375">
        <v>-11.747999999999999</v>
      </c>
      <c r="I375" t="s">
        <v>416</v>
      </c>
      <c r="J375">
        <v>11748</v>
      </c>
    </row>
    <row r="376" spans="2:10" x14ac:dyDescent="0.2">
      <c r="B376" s="1">
        <v>46122</v>
      </c>
      <c r="C376" t="s">
        <v>412</v>
      </c>
      <c r="D376" t="s">
        <v>89</v>
      </c>
      <c r="G376" t="s">
        <v>725</v>
      </c>
      <c r="H376">
        <v>10.778</v>
      </c>
      <c r="J376">
        <v>10778</v>
      </c>
    </row>
    <row r="377" spans="2:10" x14ac:dyDescent="0.2">
      <c r="B377" s="1">
        <v>46122</v>
      </c>
      <c r="C377" t="s">
        <v>412</v>
      </c>
      <c r="D377" t="s">
        <v>94</v>
      </c>
      <c r="G377" t="s">
        <v>725</v>
      </c>
      <c r="H377">
        <v>-10.778</v>
      </c>
      <c r="I377" t="s">
        <v>381</v>
      </c>
      <c r="J377">
        <v>10778</v>
      </c>
    </row>
    <row r="378" spans="2:10" x14ac:dyDescent="0.2">
      <c r="B378" s="1">
        <v>46122</v>
      </c>
      <c r="C378" t="s">
        <v>48</v>
      </c>
      <c r="D378" t="s">
        <v>94</v>
      </c>
      <c r="G378" t="s">
        <v>707</v>
      </c>
      <c r="H378">
        <v>-25.6</v>
      </c>
      <c r="I378" t="s">
        <v>726</v>
      </c>
      <c r="J378">
        <v>25600</v>
      </c>
    </row>
    <row r="379" spans="2:10" x14ac:dyDescent="0.2">
      <c r="B379" s="1">
        <v>46125</v>
      </c>
      <c r="C379" t="s">
        <v>727</v>
      </c>
      <c r="D379" t="s">
        <v>89</v>
      </c>
      <c r="E379" t="s">
        <v>728</v>
      </c>
      <c r="F379" t="s">
        <v>9</v>
      </c>
      <c r="G379" t="s">
        <v>639</v>
      </c>
      <c r="H379">
        <v>3.5</v>
      </c>
      <c r="J379">
        <v>3500</v>
      </c>
    </row>
    <row r="380" spans="2:10" x14ac:dyDescent="0.2">
      <c r="B380" s="1">
        <v>46125</v>
      </c>
      <c r="C380" t="s">
        <v>727</v>
      </c>
      <c r="D380" t="s">
        <v>89</v>
      </c>
      <c r="E380" t="s">
        <v>728</v>
      </c>
      <c r="F380" t="s">
        <v>10</v>
      </c>
      <c r="G380" t="s">
        <v>729</v>
      </c>
      <c r="H380" t="s">
        <v>730</v>
      </c>
      <c r="J380">
        <v>1400000</v>
      </c>
    </row>
    <row r="381" spans="2:10" x14ac:dyDescent="0.2">
      <c r="B381" s="1">
        <v>46125</v>
      </c>
      <c r="C381" t="s">
        <v>727</v>
      </c>
      <c r="D381" t="s">
        <v>89</v>
      </c>
      <c r="E381" t="s">
        <v>731</v>
      </c>
      <c r="F381" t="s">
        <v>9</v>
      </c>
      <c r="G381" t="s">
        <v>136</v>
      </c>
      <c r="H381">
        <v>1</v>
      </c>
      <c r="J381">
        <v>1000</v>
      </c>
    </row>
    <row r="382" spans="2:10" x14ac:dyDescent="0.2">
      <c r="B382" s="1">
        <v>46125</v>
      </c>
      <c r="C382" t="s">
        <v>727</v>
      </c>
      <c r="D382" t="s">
        <v>94</v>
      </c>
      <c r="E382" t="s">
        <v>731</v>
      </c>
      <c r="F382" t="s">
        <v>10</v>
      </c>
      <c r="G382" t="s">
        <v>729</v>
      </c>
      <c r="H382" t="s">
        <v>732</v>
      </c>
      <c r="J382">
        <v>1400000</v>
      </c>
    </row>
    <row r="383" spans="2:10" x14ac:dyDescent="0.2">
      <c r="B383" s="1">
        <v>46125</v>
      </c>
      <c r="C383" t="s">
        <v>271</v>
      </c>
      <c r="D383" t="s">
        <v>94</v>
      </c>
      <c r="E383" t="s">
        <v>731</v>
      </c>
      <c r="F383" t="s">
        <v>9</v>
      </c>
      <c r="G383" t="s">
        <v>733</v>
      </c>
      <c r="H383">
        <v>-4.3780000000000001</v>
      </c>
      <c r="I383" t="s">
        <v>57</v>
      </c>
      <c r="J383">
        <v>4378</v>
      </c>
    </row>
    <row r="384" spans="2:10" x14ac:dyDescent="0.2">
      <c r="B384" s="1">
        <v>46125</v>
      </c>
      <c r="C384" t="s">
        <v>57</v>
      </c>
      <c r="D384" t="s">
        <v>89</v>
      </c>
      <c r="E384" t="s">
        <v>731</v>
      </c>
      <c r="F384" t="s">
        <v>9</v>
      </c>
      <c r="G384" t="s">
        <v>734</v>
      </c>
      <c r="H384">
        <v>4.3</v>
      </c>
      <c r="I384" t="s">
        <v>735</v>
      </c>
      <c r="J384">
        <v>4300</v>
      </c>
    </row>
    <row r="385" spans="2:10" x14ac:dyDescent="0.2">
      <c r="B385" s="1">
        <v>46125</v>
      </c>
      <c r="C385" t="s">
        <v>736</v>
      </c>
      <c r="D385" t="s">
        <v>89</v>
      </c>
      <c r="E385" t="s">
        <v>731</v>
      </c>
      <c r="F385" t="s">
        <v>9</v>
      </c>
      <c r="G385" t="s">
        <v>737</v>
      </c>
      <c r="H385">
        <v>5.0839999999999996</v>
      </c>
      <c r="I385" t="s">
        <v>628</v>
      </c>
      <c r="J385">
        <v>5084</v>
      </c>
    </row>
    <row r="386" spans="2:10" x14ac:dyDescent="0.2">
      <c r="B386" s="1">
        <v>46125</v>
      </c>
      <c r="C386" t="s">
        <v>21</v>
      </c>
      <c r="D386" t="s">
        <v>94</v>
      </c>
      <c r="E386" t="s">
        <v>731</v>
      </c>
      <c r="F386" t="s">
        <v>9</v>
      </c>
      <c r="G386" t="s">
        <v>738</v>
      </c>
      <c r="H386">
        <v>-5.2080000000000002</v>
      </c>
      <c r="J386">
        <v>5208</v>
      </c>
    </row>
    <row r="387" spans="2:10" x14ac:dyDescent="0.2">
      <c r="B387" s="1">
        <v>46125</v>
      </c>
      <c r="C387" t="s">
        <v>739</v>
      </c>
      <c r="D387" t="s">
        <v>94</v>
      </c>
      <c r="E387" t="s">
        <v>731</v>
      </c>
      <c r="F387" t="s">
        <v>9</v>
      </c>
      <c r="G387" t="s">
        <v>407</v>
      </c>
      <c r="H387">
        <v>-500</v>
      </c>
      <c r="I387" t="s">
        <v>740</v>
      </c>
      <c r="J387">
        <v>500</v>
      </c>
    </row>
    <row r="388" spans="2:10" x14ac:dyDescent="0.2">
      <c r="B388" s="1">
        <v>46125</v>
      </c>
      <c r="C388" t="s">
        <v>57</v>
      </c>
      <c r="D388" t="s">
        <v>94</v>
      </c>
      <c r="E388" t="s">
        <v>731</v>
      </c>
      <c r="F388" t="s">
        <v>9</v>
      </c>
      <c r="G388" t="s">
        <v>734</v>
      </c>
      <c r="H388">
        <v>-4.3</v>
      </c>
      <c r="I388" t="s">
        <v>741</v>
      </c>
      <c r="J388">
        <v>4300</v>
      </c>
    </row>
    <row r="389" spans="2:10" x14ac:dyDescent="0.2">
      <c r="B389" s="1">
        <v>46125</v>
      </c>
      <c r="C389" t="s">
        <v>742</v>
      </c>
      <c r="D389" t="s">
        <v>94</v>
      </c>
      <c r="E389" t="s">
        <v>731</v>
      </c>
      <c r="F389" t="s">
        <v>9</v>
      </c>
      <c r="G389" t="s">
        <v>743</v>
      </c>
      <c r="H389">
        <v>-60</v>
      </c>
      <c r="I389" t="s">
        <v>744</v>
      </c>
      <c r="J389">
        <v>60</v>
      </c>
    </row>
    <row r="390" spans="2:10" x14ac:dyDescent="0.2">
      <c r="B390" s="1">
        <v>46125</v>
      </c>
      <c r="C390" t="s">
        <v>170</v>
      </c>
      <c r="D390" t="s">
        <v>94</v>
      </c>
      <c r="E390" t="s">
        <v>731</v>
      </c>
      <c r="F390" t="s">
        <v>9</v>
      </c>
      <c r="G390" t="s">
        <v>745</v>
      </c>
      <c r="H390">
        <v>-7.3</v>
      </c>
      <c r="J390">
        <v>7300</v>
      </c>
    </row>
    <row r="391" spans="2:10" x14ac:dyDescent="0.2">
      <c r="B391" s="1">
        <v>46125</v>
      </c>
      <c r="C391" t="s">
        <v>746</v>
      </c>
      <c r="D391" t="s">
        <v>94</v>
      </c>
      <c r="E391" t="s">
        <v>728</v>
      </c>
      <c r="F391" t="s">
        <v>9</v>
      </c>
      <c r="G391" t="s">
        <v>157</v>
      </c>
      <c r="H391">
        <v>-10</v>
      </c>
      <c r="J391">
        <v>10000</v>
      </c>
    </row>
    <row r="392" spans="2:10" x14ac:dyDescent="0.2">
      <c r="B392" s="1">
        <v>46125</v>
      </c>
      <c r="C392" t="s">
        <v>746</v>
      </c>
      <c r="D392" t="s">
        <v>89</v>
      </c>
      <c r="E392" t="s">
        <v>728</v>
      </c>
      <c r="F392" t="s">
        <v>10</v>
      </c>
      <c r="G392" t="s">
        <v>747</v>
      </c>
      <c r="H392" t="s">
        <v>748</v>
      </c>
      <c r="J392">
        <v>13860000</v>
      </c>
    </row>
    <row r="393" spans="2:10" x14ac:dyDescent="0.2">
      <c r="B393" s="1">
        <v>46125</v>
      </c>
      <c r="C393" t="s">
        <v>148</v>
      </c>
      <c r="D393" t="s">
        <v>89</v>
      </c>
      <c r="E393" t="s">
        <v>749</v>
      </c>
      <c r="F393" t="s">
        <v>9</v>
      </c>
      <c r="G393" t="s">
        <v>750</v>
      </c>
      <c r="H393">
        <v>11.462999999999999</v>
      </c>
      <c r="J393">
        <v>11463</v>
      </c>
    </row>
    <row r="394" spans="2:10" x14ac:dyDescent="0.2">
      <c r="B394" s="1">
        <v>46125</v>
      </c>
      <c r="C394" t="s">
        <v>751</v>
      </c>
      <c r="D394" t="s">
        <v>94</v>
      </c>
      <c r="E394" t="s">
        <v>749</v>
      </c>
      <c r="F394" t="s">
        <v>10</v>
      </c>
      <c r="G394" t="s">
        <v>752</v>
      </c>
      <c r="H394">
        <v>-100</v>
      </c>
      <c r="J394">
        <v>100000</v>
      </c>
    </row>
    <row r="395" spans="2:10" x14ac:dyDescent="0.2">
      <c r="B395" s="1">
        <v>46125</v>
      </c>
      <c r="C395" t="s">
        <v>170</v>
      </c>
      <c r="D395" t="s">
        <v>94</v>
      </c>
      <c r="E395" t="s">
        <v>749</v>
      </c>
      <c r="F395" t="s">
        <v>10</v>
      </c>
      <c r="G395" t="s">
        <v>753</v>
      </c>
      <c r="H395" t="s">
        <v>754</v>
      </c>
      <c r="J395">
        <v>10000000</v>
      </c>
    </row>
    <row r="396" spans="2:10" x14ac:dyDescent="0.2">
      <c r="B396" s="1">
        <v>46125</v>
      </c>
      <c r="C396" t="s">
        <v>55</v>
      </c>
      <c r="D396" t="s">
        <v>89</v>
      </c>
      <c r="E396" t="s">
        <v>749</v>
      </c>
      <c r="F396" t="s">
        <v>9</v>
      </c>
      <c r="G396" t="s">
        <v>208</v>
      </c>
      <c r="H396">
        <v>15.3</v>
      </c>
      <c r="J396">
        <v>15300</v>
      </c>
    </row>
    <row r="397" spans="2:10" x14ac:dyDescent="0.2">
      <c r="B397" s="1">
        <v>46125</v>
      </c>
      <c r="C397" t="s">
        <v>755</v>
      </c>
      <c r="D397" t="s">
        <v>89</v>
      </c>
      <c r="E397" t="s">
        <v>749</v>
      </c>
      <c r="F397" t="s">
        <v>9</v>
      </c>
      <c r="G397" t="s">
        <v>756</v>
      </c>
      <c r="H397">
        <v>570</v>
      </c>
      <c r="I397" t="s">
        <v>757</v>
      </c>
      <c r="J397">
        <v>570</v>
      </c>
    </row>
    <row r="398" spans="2:10" x14ac:dyDescent="0.2">
      <c r="B398" s="1">
        <v>46125</v>
      </c>
      <c r="C398" t="s">
        <v>170</v>
      </c>
      <c r="D398" t="s">
        <v>89</v>
      </c>
      <c r="E398" t="s">
        <v>731</v>
      </c>
      <c r="F398" t="s">
        <v>9</v>
      </c>
      <c r="G398" t="s">
        <v>758</v>
      </c>
      <c r="H398">
        <v>450</v>
      </c>
      <c r="J398">
        <v>450000</v>
      </c>
    </row>
    <row r="399" spans="2:10" x14ac:dyDescent="0.2">
      <c r="B399" s="1">
        <v>46126</v>
      </c>
      <c r="C399" t="s">
        <v>488</v>
      </c>
      <c r="D399" t="s">
        <v>89</v>
      </c>
      <c r="E399" t="s">
        <v>731</v>
      </c>
      <c r="F399" t="s">
        <v>9</v>
      </c>
      <c r="G399" t="s">
        <v>759</v>
      </c>
      <c r="H399">
        <v>14.945</v>
      </c>
      <c r="I399" t="s">
        <v>271</v>
      </c>
      <c r="J399">
        <v>14945</v>
      </c>
    </row>
    <row r="400" spans="2:10" x14ac:dyDescent="0.2">
      <c r="B400" s="1">
        <v>46126</v>
      </c>
      <c r="C400" t="s">
        <v>63</v>
      </c>
      <c r="D400" t="s">
        <v>89</v>
      </c>
      <c r="E400" t="s">
        <v>731</v>
      </c>
      <c r="F400" t="s">
        <v>9</v>
      </c>
      <c r="G400" t="s">
        <v>236</v>
      </c>
      <c r="H400">
        <v>5</v>
      </c>
      <c r="I400" t="s">
        <v>271</v>
      </c>
      <c r="J400">
        <v>5000</v>
      </c>
    </row>
    <row r="401" spans="2:10" x14ac:dyDescent="0.2">
      <c r="B401" t="s">
        <v>760</v>
      </c>
      <c r="C401" t="s">
        <v>761</v>
      </c>
      <c r="D401" t="s">
        <v>94</v>
      </c>
      <c r="E401" t="s">
        <v>731</v>
      </c>
      <c r="F401" t="s">
        <v>9</v>
      </c>
      <c r="G401" t="s">
        <v>582</v>
      </c>
      <c r="H401">
        <v>-14.87</v>
      </c>
      <c r="I401" t="s">
        <v>488</v>
      </c>
      <c r="J401">
        <v>14870</v>
      </c>
    </row>
    <row r="402" spans="2:10" x14ac:dyDescent="0.2">
      <c r="B402" s="1">
        <v>46126</v>
      </c>
      <c r="C402" t="s">
        <v>376</v>
      </c>
      <c r="D402" t="s">
        <v>94</v>
      </c>
      <c r="E402" t="s">
        <v>731</v>
      </c>
      <c r="F402" t="s">
        <v>9</v>
      </c>
      <c r="G402" t="s">
        <v>762</v>
      </c>
      <c r="H402">
        <v>-14.44</v>
      </c>
      <c r="I402" t="s">
        <v>763</v>
      </c>
      <c r="J402">
        <v>14440</v>
      </c>
    </row>
    <row r="403" spans="2:10" x14ac:dyDescent="0.2">
      <c r="B403" t="s">
        <v>760</v>
      </c>
      <c r="C403" t="s">
        <v>761</v>
      </c>
      <c r="D403" t="s">
        <v>94</v>
      </c>
      <c r="E403" t="s">
        <v>731</v>
      </c>
      <c r="F403" t="s">
        <v>9</v>
      </c>
      <c r="G403" t="s">
        <v>764</v>
      </c>
      <c r="H403">
        <v>-5.0750000000000002</v>
      </c>
      <c r="I403" t="s">
        <v>765</v>
      </c>
      <c r="J403">
        <v>5075</v>
      </c>
    </row>
    <row r="404" spans="2:10" x14ac:dyDescent="0.2">
      <c r="B404" s="1">
        <v>46126</v>
      </c>
      <c r="C404" t="s">
        <v>761</v>
      </c>
      <c r="D404" t="s">
        <v>94</v>
      </c>
      <c r="E404" t="s">
        <v>731</v>
      </c>
      <c r="F404" t="s">
        <v>9</v>
      </c>
      <c r="G404" t="s">
        <v>766</v>
      </c>
      <c r="H404">
        <v>-536</v>
      </c>
      <c r="J404">
        <v>536</v>
      </c>
    </row>
    <row r="405" spans="2:10" x14ac:dyDescent="0.2">
      <c r="B405" s="1">
        <v>46126</v>
      </c>
      <c r="C405" t="s">
        <v>761</v>
      </c>
      <c r="D405" t="s">
        <v>94</v>
      </c>
      <c r="E405" t="s">
        <v>731</v>
      </c>
      <c r="F405" t="s">
        <v>9</v>
      </c>
      <c r="G405" t="s">
        <v>767</v>
      </c>
      <c r="H405">
        <v>-200</v>
      </c>
      <c r="I405" t="s">
        <v>768</v>
      </c>
      <c r="J405">
        <v>200000</v>
      </c>
    </row>
    <row r="406" spans="2:10" x14ac:dyDescent="0.2">
      <c r="B406" t="s">
        <v>760</v>
      </c>
      <c r="C406" t="s">
        <v>542</v>
      </c>
      <c r="D406" t="s">
        <v>89</v>
      </c>
      <c r="E406" t="s">
        <v>731</v>
      </c>
      <c r="F406" t="s">
        <v>9</v>
      </c>
      <c r="G406" t="s">
        <v>769</v>
      </c>
      <c r="H406">
        <v>20.187999999999999</v>
      </c>
      <c r="I406" t="s">
        <v>770</v>
      </c>
      <c r="J406">
        <v>20188</v>
      </c>
    </row>
    <row r="407" spans="2:10" x14ac:dyDescent="0.2">
      <c r="B407" s="1">
        <v>46126</v>
      </c>
      <c r="C407" t="s">
        <v>736</v>
      </c>
      <c r="D407" t="s">
        <v>94</v>
      </c>
      <c r="E407" t="s">
        <v>749</v>
      </c>
      <c r="F407" t="s">
        <v>9</v>
      </c>
      <c r="G407" t="s">
        <v>771</v>
      </c>
      <c r="H407">
        <v>-4.8</v>
      </c>
      <c r="J407">
        <v>4800</v>
      </c>
    </row>
    <row r="408" spans="2:10" x14ac:dyDescent="0.2">
      <c r="B408" s="1">
        <v>46126</v>
      </c>
      <c r="C408" t="s">
        <v>736</v>
      </c>
      <c r="D408" t="s">
        <v>94</v>
      </c>
      <c r="E408" t="s">
        <v>749</v>
      </c>
      <c r="F408" t="s">
        <v>10</v>
      </c>
      <c r="G408" t="s">
        <v>772</v>
      </c>
      <c r="H408">
        <v>-400</v>
      </c>
      <c r="J408">
        <v>400000</v>
      </c>
    </row>
    <row r="409" spans="2:10" x14ac:dyDescent="0.2">
      <c r="B409" s="1">
        <v>46126</v>
      </c>
      <c r="C409" t="s">
        <v>63</v>
      </c>
      <c r="D409" t="s">
        <v>94</v>
      </c>
      <c r="E409" t="s">
        <v>749</v>
      </c>
      <c r="F409" t="s">
        <v>9</v>
      </c>
      <c r="G409" t="s">
        <v>236</v>
      </c>
      <c r="H409">
        <v>-5</v>
      </c>
      <c r="J409">
        <v>5000</v>
      </c>
    </row>
    <row r="410" spans="2:10" x14ac:dyDescent="0.2">
      <c r="B410" s="1">
        <v>46126</v>
      </c>
      <c r="C410" t="s">
        <v>712</v>
      </c>
      <c r="D410" t="s">
        <v>89</v>
      </c>
      <c r="E410" t="s">
        <v>749</v>
      </c>
      <c r="F410" t="s">
        <v>9</v>
      </c>
      <c r="G410" t="s">
        <v>355</v>
      </c>
      <c r="H410">
        <v>9.15</v>
      </c>
      <c r="J410">
        <v>9150</v>
      </c>
    </row>
    <row r="411" spans="2:10" x14ac:dyDescent="0.2">
      <c r="B411" s="1">
        <v>46126</v>
      </c>
      <c r="C411" t="s">
        <v>542</v>
      </c>
      <c r="D411" t="s">
        <v>89</v>
      </c>
      <c r="E411" t="s">
        <v>749</v>
      </c>
      <c r="F411" t="s">
        <v>10</v>
      </c>
      <c r="G411" t="s">
        <v>773</v>
      </c>
      <c r="H411" t="s">
        <v>774</v>
      </c>
      <c r="J411">
        <v>36000000</v>
      </c>
    </row>
    <row r="412" spans="2:10" x14ac:dyDescent="0.2">
      <c r="B412" s="1">
        <v>46126</v>
      </c>
      <c r="C412" t="s">
        <v>376</v>
      </c>
      <c r="D412" t="s">
        <v>94</v>
      </c>
      <c r="E412" t="s">
        <v>731</v>
      </c>
      <c r="F412" t="s">
        <v>9</v>
      </c>
      <c r="G412" t="s">
        <v>775</v>
      </c>
      <c r="H412">
        <v>-21.66</v>
      </c>
      <c r="I412" t="s">
        <v>776</v>
      </c>
      <c r="J412">
        <v>21660</v>
      </c>
    </row>
    <row r="413" spans="2:10" x14ac:dyDescent="0.2">
      <c r="B413" s="1">
        <v>46126</v>
      </c>
      <c r="C413" t="s">
        <v>777</v>
      </c>
      <c r="D413" t="s">
        <v>94</v>
      </c>
      <c r="E413" t="s">
        <v>749</v>
      </c>
      <c r="F413" t="s">
        <v>9</v>
      </c>
      <c r="G413" t="s">
        <v>334</v>
      </c>
      <c r="H413">
        <v>-2.5</v>
      </c>
      <c r="I413" t="s">
        <v>778</v>
      </c>
      <c r="J413">
        <v>2500</v>
      </c>
    </row>
    <row r="414" spans="2:10" x14ac:dyDescent="0.2">
      <c r="B414" s="1">
        <v>46127</v>
      </c>
      <c r="C414" t="s">
        <v>67</v>
      </c>
      <c r="D414" t="s">
        <v>89</v>
      </c>
      <c r="E414" t="s">
        <v>731</v>
      </c>
      <c r="F414" t="s">
        <v>9</v>
      </c>
      <c r="G414" t="s">
        <v>779</v>
      </c>
      <c r="H414">
        <v>152.245</v>
      </c>
      <c r="I414" t="s">
        <v>780</v>
      </c>
      <c r="J414">
        <v>152245</v>
      </c>
    </row>
    <row r="415" spans="2:10" x14ac:dyDescent="0.2">
      <c r="B415" s="1">
        <v>46127</v>
      </c>
      <c r="C415" t="s">
        <v>761</v>
      </c>
      <c r="D415" t="s">
        <v>94</v>
      </c>
      <c r="E415" t="s">
        <v>731</v>
      </c>
      <c r="F415" t="s">
        <v>9</v>
      </c>
      <c r="G415" t="s">
        <v>781</v>
      </c>
      <c r="H415">
        <v>-149.19999999999999</v>
      </c>
      <c r="I415" t="s">
        <v>782</v>
      </c>
      <c r="J415">
        <v>149200</v>
      </c>
    </row>
    <row r="416" spans="2:10" x14ac:dyDescent="0.2">
      <c r="B416" s="1">
        <v>46127</v>
      </c>
      <c r="C416" t="s">
        <v>69</v>
      </c>
      <c r="D416" t="s">
        <v>89</v>
      </c>
      <c r="E416" t="s">
        <v>731</v>
      </c>
      <c r="F416" t="s">
        <v>9</v>
      </c>
      <c r="G416" t="s">
        <v>783</v>
      </c>
      <c r="H416">
        <v>10.145</v>
      </c>
      <c r="I416" t="s">
        <v>784</v>
      </c>
      <c r="J416">
        <v>10145</v>
      </c>
    </row>
  </sheetData>
  <autoFilter ref="A5:Y416" xr:uid="{00000000-0009-0000-0000-000001000000}"/>
  <pageMargins left="0.7" right="0.7" top="0.75" bottom="0.75" header="0.3" footer="0.3"/>
  <ignoredErrors>
    <ignoredError sqref="B4:J4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FAC-1DE8-8146-9848-DE7D657BC742}">
  <dimension ref="A1:K93"/>
  <sheetViews>
    <sheetView topLeftCell="A66" workbookViewId="0">
      <selection activeCell="A82" sqref="A82:XFD82"/>
    </sheetView>
  </sheetViews>
  <sheetFormatPr baseColWidth="10" defaultRowHeight="16" x14ac:dyDescent="0.2"/>
  <cols>
    <col min="9" max="9" width="32.1640625" bestFit="1" customWidth="1"/>
    <col min="10" max="10" width="12.6640625" bestFit="1" customWidth="1"/>
    <col min="11" max="11" width="10.83203125" style="2"/>
  </cols>
  <sheetData>
    <row r="1" spans="1:11" x14ac:dyDescent="0.2">
      <c r="A1" s="3"/>
      <c r="B1" s="3"/>
      <c r="C1" s="3"/>
      <c r="D1" s="3"/>
      <c r="E1" s="3"/>
      <c r="F1" s="3"/>
      <c r="G1" s="3"/>
      <c r="H1" s="3"/>
      <c r="I1" s="3"/>
      <c r="J1" s="3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11" x14ac:dyDescent="0.2">
      <c r="A3" s="3"/>
      <c r="B3" s="3"/>
      <c r="C3" s="3"/>
      <c r="D3" s="3"/>
      <c r="E3" s="3"/>
      <c r="F3" s="3"/>
      <c r="G3" s="3"/>
      <c r="H3" s="3"/>
      <c r="I3" s="3"/>
      <c r="J3" s="4">
        <f>+SUM(J6:J93)</f>
        <v>3109092.02</v>
      </c>
      <c r="K3" s="4">
        <f>+SUM(K6:K93)</f>
        <v>-400102.02</v>
      </c>
    </row>
    <row r="4" spans="1:11" x14ac:dyDescent="0.2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x14ac:dyDescent="0.2">
      <c r="A5" s="3"/>
      <c r="B5" s="3" t="s">
        <v>4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  <c r="K5" s="4" t="s">
        <v>84</v>
      </c>
    </row>
    <row r="6" spans="1:11" x14ac:dyDescent="0.2">
      <c r="A6" s="3"/>
      <c r="B6" s="5">
        <v>46080</v>
      </c>
      <c r="C6" s="3" t="s">
        <v>21</v>
      </c>
      <c r="D6" s="3" t="s">
        <v>94</v>
      </c>
      <c r="E6" s="3"/>
      <c r="F6" s="3"/>
      <c r="G6" s="3" t="s">
        <v>95</v>
      </c>
      <c r="H6" s="3">
        <v>-2.423</v>
      </c>
      <c r="I6" s="3" t="s">
        <v>96</v>
      </c>
      <c r="J6" s="3">
        <v>2422.8200000000002</v>
      </c>
      <c r="K6" s="6">
        <f>+IF(D6="Egreso", J6*-1,J6)</f>
        <v>-2422.8200000000002</v>
      </c>
    </row>
    <row r="7" spans="1:11" x14ac:dyDescent="0.2">
      <c r="A7" s="3"/>
      <c r="B7" s="5">
        <v>46080</v>
      </c>
      <c r="C7" s="3" t="s">
        <v>21</v>
      </c>
      <c r="D7" s="3" t="s">
        <v>94</v>
      </c>
      <c r="E7" s="3"/>
      <c r="F7" s="3"/>
      <c r="G7" s="3" t="s">
        <v>101</v>
      </c>
      <c r="H7" s="3">
        <v>-3.915</v>
      </c>
      <c r="I7" s="3" t="s">
        <v>96</v>
      </c>
      <c r="J7" s="3">
        <v>3915</v>
      </c>
      <c r="K7" s="6">
        <f t="shared" ref="K7:K70" si="0">+IF(D7="Egreso", J7*-1,J7)</f>
        <v>-3915</v>
      </c>
    </row>
    <row r="8" spans="1:11" x14ac:dyDescent="0.2">
      <c r="A8" s="3"/>
      <c r="B8" s="5">
        <v>46080</v>
      </c>
      <c r="C8" s="3" t="s">
        <v>21</v>
      </c>
      <c r="D8" s="3" t="s">
        <v>94</v>
      </c>
      <c r="E8" s="3"/>
      <c r="F8" s="3"/>
      <c r="G8" s="3" t="s">
        <v>102</v>
      </c>
      <c r="H8" s="3">
        <v>-19.7</v>
      </c>
      <c r="I8" s="3" t="s">
        <v>103</v>
      </c>
      <c r="J8" s="3">
        <v>19700</v>
      </c>
      <c r="K8" s="6">
        <f t="shared" si="0"/>
        <v>-19700</v>
      </c>
    </row>
    <row r="9" spans="1:11" x14ac:dyDescent="0.2">
      <c r="A9" s="3"/>
      <c r="B9" s="5">
        <v>46080</v>
      </c>
      <c r="C9" s="3" t="s">
        <v>21</v>
      </c>
      <c r="D9" s="3" t="s">
        <v>94</v>
      </c>
      <c r="E9" s="3"/>
      <c r="F9" s="3"/>
      <c r="G9" s="3" t="s">
        <v>104</v>
      </c>
      <c r="H9" s="3">
        <v>-150</v>
      </c>
      <c r="I9" s="3" t="s">
        <v>105</v>
      </c>
      <c r="J9" s="3">
        <v>150</v>
      </c>
      <c r="K9" s="6">
        <f t="shared" si="0"/>
        <v>-150</v>
      </c>
    </row>
    <row r="10" spans="1:11" x14ac:dyDescent="0.2">
      <c r="A10" s="3"/>
      <c r="B10" s="5">
        <v>46083</v>
      </c>
      <c r="C10" s="3" t="s">
        <v>21</v>
      </c>
      <c r="D10" s="3" t="s">
        <v>89</v>
      </c>
      <c r="E10" s="3"/>
      <c r="F10" s="3"/>
      <c r="G10" s="3" t="s">
        <v>106</v>
      </c>
      <c r="H10" s="3">
        <v>30.05</v>
      </c>
      <c r="I10" s="3" t="s">
        <v>107</v>
      </c>
      <c r="J10" s="3">
        <v>30050</v>
      </c>
      <c r="K10" s="6">
        <f t="shared" si="0"/>
        <v>30050</v>
      </c>
    </row>
    <row r="11" spans="1:11" x14ac:dyDescent="0.2">
      <c r="A11" s="3"/>
      <c r="B11" s="5">
        <v>46083</v>
      </c>
      <c r="C11" s="3" t="s">
        <v>21</v>
      </c>
      <c r="D11" s="3" t="s">
        <v>94</v>
      </c>
      <c r="E11" s="3"/>
      <c r="F11" s="3"/>
      <c r="G11" s="3" t="s">
        <v>113</v>
      </c>
      <c r="H11" s="3">
        <v>-1.5</v>
      </c>
      <c r="I11" s="3" t="s">
        <v>114</v>
      </c>
      <c r="J11" s="3">
        <v>1500</v>
      </c>
      <c r="K11" s="6">
        <f t="shared" si="0"/>
        <v>-1500</v>
      </c>
    </row>
    <row r="12" spans="1:11" x14ac:dyDescent="0.2">
      <c r="A12" s="3"/>
      <c r="B12" s="5">
        <v>46083</v>
      </c>
      <c r="C12" s="3" t="s">
        <v>21</v>
      </c>
      <c r="D12" s="3" t="s">
        <v>94</v>
      </c>
      <c r="E12" s="3"/>
      <c r="F12" s="3"/>
      <c r="G12" s="3" t="s">
        <v>119</v>
      </c>
      <c r="H12" s="3">
        <v>-4.9249999999999998</v>
      </c>
      <c r="I12" s="3" t="s">
        <v>120</v>
      </c>
      <c r="J12" s="3">
        <v>4925</v>
      </c>
      <c r="K12" s="6">
        <f t="shared" si="0"/>
        <v>-4925</v>
      </c>
    </row>
    <row r="13" spans="1:11" x14ac:dyDescent="0.2">
      <c r="A13" s="3"/>
      <c r="B13" s="5">
        <v>46084</v>
      </c>
      <c r="C13" s="3" t="s">
        <v>21</v>
      </c>
      <c r="D13" s="3" t="s">
        <v>94</v>
      </c>
      <c r="E13" s="3"/>
      <c r="F13" s="3"/>
      <c r="G13" s="3" t="s">
        <v>121</v>
      </c>
      <c r="H13" s="3">
        <v>-15.069000000000001</v>
      </c>
      <c r="I13" s="3" t="s">
        <v>122</v>
      </c>
      <c r="J13" s="3">
        <v>15069.2</v>
      </c>
      <c r="K13" s="6">
        <f t="shared" si="0"/>
        <v>-15069.2</v>
      </c>
    </row>
    <row r="14" spans="1:11" x14ac:dyDescent="0.2">
      <c r="A14" s="3"/>
      <c r="B14" s="5">
        <v>46084</v>
      </c>
      <c r="C14" s="3" t="s">
        <v>21</v>
      </c>
      <c r="D14" s="3" t="s">
        <v>94</v>
      </c>
      <c r="E14" s="3"/>
      <c r="F14" s="3"/>
      <c r="G14" s="3" t="s">
        <v>128</v>
      </c>
      <c r="H14" s="3">
        <v>-750</v>
      </c>
      <c r="I14" s="3" t="s">
        <v>129</v>
      </c>
      <c r="J14" s="3">
        <v>750</v>
      </c>
      <c r="K14" s="6">
        <f t="shared" si="0"/>
        <v>-750</v>
      </c>
    </row>
    <row r="15" spans="1:11" x14ac:dyDescent="0.2">
      <c r="A15" s="3"/>
      <c r="B15" s="5">
        <v>46084</v>
      </c>
      <c r="C15" s="3" t="s">
        <v>21</v>
      </c>
      <c r="D15" s="3" t="s">
        <v>89</v>
      </c>
      <c r="E15" s="3"/>
      <c r="F15" s="3"/>
      <c r="G15" s="3" t="s">
        <v>130</v>
      </c>
      <c r="H15" s="3">
        <v>20.05</v>
      </c>
      <c r="I15" s="3" t="s">
        <v>131</v>
      </c>
      <c r="J15" s="3">
        <v>20050</v>
      </c>
      <c r="K15" s="6">
        <f t="shared" si="0"/>
        <v>20050</v>
      </c>
    </row>
    <row r="16" spans="1:11" x14ac:dyDescent="0.2">
      <c r="A16" s="3"/>
      <c r="B16" s="5">
        <v>46086</v>
      </c>
      <c r="C16" s="3" t="s">
        <v>21</v>
      </c>
      <c r="D16" s="3" t="s">
        <v>94</v>
      </c>
      <c r="E16" s="3"/>
      <c r="F16" s="3"/>
      <c r="G16" s="3" t="s">
        <v>174</v>
      </c>
      <c r="H16" s="3">
        <v>-155.12799999999999</v>
      </c>
      <c r="I16" s="3" t="s">
        <v>175</v>
      </c>
      <c r="J16" s="3">
        <v>155128</v>
      </c>
      <c r="K16" s="6">
        <f t="shared" si="0"/>
        <v>-155128</v>
      </c>
    </row>
    <row r="17" spans="1:11" x14ac:dyDescent="0.2">
      <c r="A17" s="3"/>
      <c r="B17" s="5">
        <v>46086</v>
      </c>
      <c r="C17" s="3" t="s">
        <v>21</v>
      </c>
      <c r="D17" s="3" t="s">
        <v>89</v>
      </c>
      <c r="E17" s="3"/>
      <c r="F17" s="3"/>
      <c r="G17" s="3" t="s">
        <v>179</v>
      </c>
      <c r="H17" s="3">
        <v>15.05</v>
      </c>
      <c r="I17" s="3" t="s">
        <v>180</v>
      </c>
      <c r="J17" s="3">
        <v>15050</v>
      </c>
      <c r="K17" s="6">
        <f t="shared" si="0"/>
        <v>15050</v>
      </c>
    </row>
    <row r="18" spans="1:11" x14ac:dyDescent="0.2">
      <c r="A18" s="3"/>
      <c r="B18" s="5">
        <v>46087</v>
      </c>
      <c r="C18" s="3" t="s">
        <v>21</v>
      </c>
      <c r="D18" s="3" t="s">
        <v>89</v>
      </c>
      <c r="E18" s="3"/>
      <c r="F18" s="3"/>
      <c r="G18" s="3" t="s">
        <v>205</v>
      </c>
      <c r="H18" s="3">
        <v>40.049999999999997</v>
      </c>
      <c r="I18" s="3" t="s">
        <v>206</v>
      </c>
      <c r="J18" s="3">
        <v>40050</v>
      </c>
      <c r="K18" s="6">
        <f t="shared" si="0"/>
        <v>40050</v>
      </c>
    </row>
    <row r="19" spans="1:11" x14ac:dyDescent="0.2">
      <c r="A19" s="3"/>
      <c r="B19" s="5">
        <v>46087</v>
      </c>
      <c r="C19" s="3" t="s">
        <v>21</v>
      </c>
      <c r="D19" s="3" t="s">
        <v>89</v>
      </c>
      <c r="E19" s="3"/>
      <c r="F19" s="3"/>
      <c r="G19" s="3" t="s">
        <v>226</v>
      </c>
      <c r="H19" s="3">
        <v>4.62</v>
      </c>
      <c r="I19" s="3" t="s">
        <v>225</v>
      </c>
      <c r="J19" s="3">
        <v>4620</v>
      </c>
      <c r="K19" s="6">
        <f t="shared" si="0"/>
        <v>4620</v>
      </c>
    </row>
    <row r="20" spans="1:11" x14ac:dyDescent="0.2">
      <c r="A20" s="3"/>
      <c r="B20" s="5">
        <v>46087</v>
      </c>
      <c r="C20" s="3" t="s">
        <v>21</v>
      </c>
      <c r="D20" s="3" t="s">
        <v>89</v>
      </c>
      <c r="E20" s="3"/>
      <c r="F20" s="3"/>
      <c r="G20" s="3" t="s">
        <v>179</v>
      </c>
      <c r="H20" s="3">
        <v>15.05</v>
      </c>
      <c r="I20" s="3" t="s">
        <v>229</v>
      </c>
      <c r="J20" s="3">
        <v>15050</v>
      </c>
      <c r="K20" s="6">
        <f t="shared" si="0"/>
        <v>15050</v>
      </c>
    </row>
    <row r="21" spans="1:11" x14ac:dyDescent="0.2">
      <c r="A21" s="3"/>
      <c r="B21" s="5">
        <v>46090</v>
      </c>
      <c r="C21" s="3" t="s">
        <v>21</v>
      </c>
      <c r="D21" s="3" t="s">
        <v>89</v>
      </c>
      <c r="E21" s="3"/>
      <c r="F21" s="3"/>
      <c r="G21" s="3" t="s">
        <v>250</v>
      </c>
      <c r="H21" s="3">
        <v>12.686</v>
      </c>
      <c r="I21" s="3" t="s">
        <v>251</v>
      </c>
      <c r="J21" s="3">
        <v>12686</v>
      </c>
      <c r="K21" s="6">
        <f t="shared" si="0"/>
        <v>12686</v>
      </c>
    </row>
    <row r="22" spans="1:11" x14ac:dyDescent="0.2">
      <c r="A22" s="3"/>
      <c r="B22" s="5">
        <v>46091</v>
      </c>
      <c r="C22" s="3" t="s">
        <v>21</v>
      </c>
      <c r="D22" s="3" t="s">
        <v>89</v>
      </c>
      <c r="E22" s="3"/>
      <c r="F22" s="3"/>
      <c r="G22" s="3" t="s">
        <v>261</v>
      </c>
      <c r="H22" s="3">
        <v>72.05</v>
      </c>
      <c r="I22" s="3" t="s">
        <v>262</v>
      </c>
      <c r="J22" s="3">
        <v>72050</v>
      </c>
      <c r="K22" s="6">
        <f t="shared" si="0"/>
        <v>72050</v>
      </c>
    </row>
    <row r="23" spans="1:11" x14ac:dyDescent="0.2">
      <c r="A23" s="3"/>
      <c r="B23" s="5">
        <v>46091</v>
      </c>
      <c r="C23" s="3" t="s">
        <v>21</v>
      </c>
      <c r="D23" s="3" t="s">
        <v>89</v>
      </c>
      <c r="E23" s="3"/>
      <c r="F23" s="3"/>
      <c r="G23" s="3" t="s">
        <v>272</v>
      </c>
      <c r="H23" s="3">
        <v>22.13</v>
      </c>
      <c r="I23" s="3" t="s">
        <v>273</v>
      </c>
      <c r="J23" s="3">
        <v>22130</v>
      </c>
      <c r="K23" s="6">
        <f t="shared" si="0"/>
        <v>22130</v>
      </c>
    </row>
    <row r="24" spans="1:11" x14ac:dyDescent="0.2">
      <c r="A24" s="3"/>
      <c r="B24" s="5">
        <v>46092</v>
      </c>
      <c r="C24" s="3" t="s">
        <v>21</v>
      </c>
      <c r="D24" s="3" t="s">
        <v>94</v>
      </c>
      <c r="E24" s="3"/>
      <c r="F24" s="3"/>
      <c r="G24" s="3" t="s">
        <v>287</v>
      </c>
      <c r="H24" s="3">
        <v>-1.4430000000000001</v>
      </c>
      <c r="I24" s="3" t="s">
        <v>120</v>
      </c>
      <c r="J24" s="3">
        <v>1443</v>
      </c>
      <c r="K24" s="6">
        <f t="shared" si="0"/>
        <v>-1443</v>
      </c>
    </row>
    <row r="25" spans="1:11" x14ac:dyDescent="0.2">
      <c r="A25" s="3"/>
      <c r="B25" s="5">
        <v>46093</v>
      </c>
      <c r="C25" s="3" t="s">
        <v>21</v>
      </c>
      <c r="D25" s="3" t="s">
        <v>94</v>
      </c>
      <c r="E25" s="3"/>
      <c r="F25" s="3"/>
      <c r="G25" s="3" t="s">
        <v>318</v>
      </c>
      <c r="H25" s="3">
        <v>-4.07</v>
      </c>
      <c r="I25" s="3" t="s">
        <v>319</v>
      </c>
      <c r="J25" s="3">
        <v>4070</v>
      </c>
      <c r="K25" s="6">
        <f t="shared" si="0"/>
        <v>-4070</v>
      </c>
    </row>
    <row r="26" spans="1:11" x14ac:dyDescent="0.2">
      <c r="A26" s="3"/>
      <c r="B26" s="5">
        <v>46094</v>
      </c>
      <c r="C26" s="3" t="s">
        <v>21</v>
      </c>
      <c r="D26" s="3" t="s">
        <v>89</v>
      </c>
      <c r="E26" s="3"/>
      <c r="F26" s="3"/>
      <c r="G26" s="3" t="s">
        <v>326</v>
      </c>
      <c r="H26" s="3">
        <v>4.25</v>
      </c>
      <c r="I26" s="3" t="s">
        <v>327</v>
      </c>
      <c r="J26" s="3">
        <v>4250</v>
      </c>
      <c r="K26" s="6">
        <f t="shared" si="0"/>
        <v>4250</v>
      </c>
    </row>
    <row r="27" spans="1:11" x14ac:dyDescent="0.2">
      <c r="A27" s="3"/>
      <c r="B27" s="5">
        <v>46097</v>
      </c>
      <c r="C27" s="3" t="s">
        <v>21</v>
      </c>
      <c r="D27" s="3" t="s">
        <v>94</v>
      </c>
      <c r="E27" s="3"/>
      <c r="F27" s="3"/>
      <c r="G27" s="3" t="s">
        <v>329</v>
      </c>
      <c r="H27" s="3">
        <v>-1.94</v>
      </c>
      <c r="I27" s="3" t="s">
        <v>331</v>
      </c>
      <c r="J27" s="3">
        <v>1940</v>
      </c>
      <c r="K27" s="6">
        <f t="shared" si="0"/>
        <v>-1940</v>
      </c>
    </row>
    <row r="28" spans="1:11" x14ac:dyDescent="0.2">
      <c r="A28" s="3"/>
      <c r="B28" s="5">
        <v>46097</v>
      </c>
      <c r="C28" s="3" t="s">
        <v>21</v>
      </c>
      <c r="D28" s="3" t="s">
        <v>94</v>
      </c>
      <c r="E28" s="3"/>
      <c r="F28" s="3"/>
      <c r="G28" s="3" t="s">
        <v>347</v>
      </c>
      <c r="H28" s="3">
        <v>-5.1100000000000003</v>
      </c>
      <c r="I28" s="3" t="s">
        <v>348</v>
      </c>
      <c r="J28" s="3">
        <v>5110</v>
      </c>
      <c r="K28" s="6">
        <f t="shared" si="0"/>
        <v>-5110</v>
      </c>
    </row>
    <row r="29" spans="1:11" x14ac:dyDescent="0.2">
      <c r="A29" s="3"/>
      <c r="B29" s="5">
        <v>46097</v>
      </c>
      <c r="C29" s="3" t="s">
        <v>21</v>
      </c>
      <c r="D29" s="3" t="s">
        <v>89</v>
      </c>
      <c r="E29" s="3"/>
      <c r="F29" s="3"/>
      <c r="G29" s="3" t="s">
        <v>355</v>
      </c>
      <c r="H29" s="3">
        <v>9.15</v>
      </c>
      <c r="I29" s="3" t="s">
        <v>356</v>
      </c>
      <c r="J29" s="3">
        <v>9150</v>
      </c>
      <c r="K29" s="6">
        <f t="shared" si="0"/>
        <v>9150</v>
      </c>
    </row>
    <row r="30" spans="1:11" x14ac:dyDescent="0.2">
      <c r="A30" s="3"/>
      <c r="B30" s="5">
        <v>46098</v>
      </c>
      <c r="C30" s="3" t="s">
        <v>21</v>
      </c>
      <c r="D30" s="3" t="s">
        <v>94</v>
      </c>
      <c r="E30" s="3"/>
      <c r="F30" s="3"/>
      <c r="G30" s="3" t="s">
        <v>358</v>
      </c>
      <c r="H30" s="3">
        <v>-4.468</v>
      </c>
      <c r="I30" s="3" t="s">
        <v>359</v>
      </c>
      <c r="J30" s="3">
        <v>4468</v>
      </c>
      <c r="K30" s="6">
        <f t="shared" si="0"/>
        <v>-4468</v>
      </c>
    </row>
    <row r="31" spans="1:11" x14ac:dyDescent="0.2">
      <c r="A31" s="3"/>
      <c r="B31" s="5">
        <v>46098</v>
      </c>
      <c r="C31" s="3" t="s">
        <v>21</v>
      </c>
      <c r="D31" s="3" t="s">
        <v>89</v>
      </c>
      <c r="E31" s="3"/>
      <c r="F31" s="3"/>
      <c r="G31" s="3" t="s">
        <v>366</v>
      </c>
      <c r="H31" s="3">
        <v>4.8499999999999996</v>
      </c>
      <c r="I31" s="3" t="s">
        <v>367</v>
      </c>
      <c r="J31" s="3">
        <v>4850</v>
      </c>
      <c r="K31" s="6">
        <f t="shared" si="0"/>
        <v>4850</v>
      </c>
    </row>
    <row r="32" spans="1:11" x14ac:dyDescent="0.2">
      <c r="A32" s="3"/>
      <c r="B32" s="5">
        <v>46098</v>
      </c>
      <c r="C32" s="3" t="s">
        <v>21</v>
      </c>
      <c r="D32" s="3" t="s">
        <v>89</v>
      </c>
      <c r="E32" s="3"/>
      <c r="F32" s="3"/>
      <c r="G32" s="3" t="s">
        <v>368</v>
      </c>
      <c r="H32" s="3">
        <v>5.0250000000000004</v>
      </c>
      <c r="I32" s="3" t="s">
        <v>369</v>
      </c>
      <c r="J32" s="3">
        <v>5025</v>
      </c>
      <c r="K32" s="6">
        <f t="shared" si="0"/>
        <v>5025</v>
      </c>
    </row>
    <row r="33" spans="1:11" x14ac:dyDescent="0.2">
      <c r="A33" s="3"/>
      <c r="B33" s="5">
        <v>46099</v>
      </c>
      <c r="C33" s="3" t="s">
        <v>21</v>
      </c>
      <c r="D33" s="3" t="s">
        <v>89</v>
      </c>
      <c r="E33" s="3"/>
      <c r="F33" s="3"/>
      <c r="G33" s="3" t="s">
        <v>405</v>
      </c>
      <c r="H33" s="3">
        <v>25.05</v>
      </c>
      <c r="I33" s="3" t="s">
        <v>406</v>
      </c>
      <c r="J33" s="3">
        <v>25050</v>
      </c>
      <c r="K33" s="6">
        <f t="shared" si="0"/>
        <v>25050</v>
      </c>
    </row>
    <row r="34" spans="1:11" x14ac:dyDescent="0.2">
      <c r="A34" s="3"/>
      <c r="B34" s="5">
        <v>46099</v>
      </c>
      <c r="C34" s="3" t="s">
        <v>21</v>
      </c>
      <c r="D34" s="3" t="s">
        <v>94</v>
      </c>
      <c r="E34" s="3"/>
      <c r="F34" s="3"/>
      <c r="G34" s="3" t="s">
        <v>409</v>
      </c>
      <c r="H34" s="3">
        <v>-4.2789999999999999</v>
      </c>
      <c r="I34" s="3" t="s">
        <v>410</v>
      </c>
      <c r="J34" s="3">
        <v>4279</v>
      </c>
      <c r="K34" s="6">
        <f t="shared" si="0"/>
        <v>-4279</v>
      </c>
    </row>
    <row r="35" spans="1:11" x14ac:dyDescent="0.2">
      <c r="A35" s="3"/>
      <c r="B35" s="5">
        <v>46100</v>
      </c>
      <c r="C35" s="3" t="s">
        <v>21</v>
      </c>
      <c r="D35" s="3" t="s">
        <v>89</v>
      </c>
      <c r="E35" s="3"/>
      <c r="F35" s="3"/>
      <c r="G35" s="3" t="s">
        <v>435</v>
      </c>
      <c r="H35" s="3">
        <v>2.56</v>
      </c>
      <c r="I35" s="3" t="s">
        <v>436</v>
      </c>
      <c r="J35" s="3">
        <v>2560</v>
      </c>
      <c r="K35" s="6">
        <f t="shared" si="0"/>
        <v>2560</v>
      </c>
    </row>
    <row r="36" spans="1:11" x14ac:dyDescent="0.2">
      <c r="A36" s="3"/>
      <c r="B36" s="5">
        <v>46101</v>
      </c>
      <c r="C36" s="3" t="s">
        <v>21</v>
      </c>
      <c r="D36" s="3" t="s">
        <v>94</v>
      </c>
      <c r="E36" s="3"/>
      <c r="F36" s="3"/>
      <c r="G36" s="3" t="s">
        <v>442</v>
      </c>
      <c r="H36" s="3">
        <v>-27.46</v>
      </c>
      <c r="I36" s="3" t="s">
        <v>443</v>
      </c>
      <c r="J36" s="3">
        <v>27460</v>
      </c>
      <c r="K36" s="6">
        <f t="shared" si="0"/>
        <v>-27460</v>
      </c>
    </row>
    <row r="37" spans="1:11" x14ac:dyDescent="0.2">
      <c r="A37" s="3"/>
      <c r="B37" s="5">
        <v>46101</v>
      </c>
      <c r="C37" s="3" t="s">
        <v>21</v>
      </c>
      <c r="D37" s="3" t="s">
        <v>94</v>
      </c>
      <c r="E37" s="3"/>
      <c r="F37" s="3"/>
      <c r="G37" s="3" t="s">
        <v>444</v>
      </c>
      <c r="H37" s="3">
        <v>-14.696999999999999</v>
      </c>
      <c r="I37" s="3" t="s">
        <v>443</v>
      </c>
      <c r="J37" s="3">
        <v>14697</v>
      </c>
      <c r="K37" s="6">
        <f t="shared" si="0"/>
        <v>-14697</v>
      </c>
    </row>
    <row r="38" spans="1:11" x14ac:dyDescent="0.2">
      <c r="A38" s="3"/>
      <c r="B38" s="5">
        <v>46101</v>
      </c>
      <c r="C38" s="3" t="s">
        <v>21</v>
      </c>
      <c r="D38" s="3" t="s">
        <v>89</v>
      </c>
      <c r="E38" s="3"/>
      <c r="F38" s="3"/>
      <c r="G38" s="3" t="s">
        <v>405</v>
      </c>
      <c r="H38" s="3">
        <v>25.05</v>
      </c>
      <c r="I38" s="3" t="s">
        <v>457</v>
      </c>
      <c r="J38" s="3">
        <v>25050</v>
      </c>
      <c r="K38" s="6">
        <f t="shared" si="0"/>
        <v>25050</v>
      </c>
    </row>
    <row r="39" spans="1:11" x14ac:dyDescent="0.2">
      <c r="A39" s="3"/>
      <c r="B39" s="5">
        <v>46101</v>
      </c>
      <c r="C39" s="3" t="s">
        <v>21</v>
      </c>
      <c r="D39" s="3" t="s">
        <v>94</v>
      </c>
      <c r="E39" s="3"/>
      <c r="F39" s="3"/>
      <c r="G39" s="3" t="s">
        <v>458</v>
      </c>
      <c r="H39" s="3">
        <v>-20.66</v>
      </c>
      <c r="I39" s="3" t="s">
        <v>461</v>
      </c>
      <c r="J39" s="3">
        <v>20660</v>
      </c>
      <c r="K39" s="6">
        <f t="shared" si="0"/>
        <v>-20660</v>
      </c>
    </row>
    <row r="40" spans="1:11" x14ac:dyDescent="0.2">
      <c r="A40" s="3"/>
      <c r="B40" s="5">
        <v>46101</v>
      </c>
      <c r="C40" s="3" t="s">
        <v>21</v>
      </c>
      <c r="D40" s="3" t="s">
        <v>94</v>
      </c>
      <c r="E40" s="3"/>
      <c r="F40" s="3"/>
      <c r="G40" s="3" t="s">
        <v>465</v>
      </c>
      <c r="H40" s="3">
        <v>-10.093999999999999</v>
      </c>
      <c r="I40" s="3" t="s">
        <v>466</v>
      </c>
      <c r="J40" s="3">
        <v>10094</v>
      </c>
      <c r="K40" s="6">
        <f t="shared" si="0"/>
        <v>-10094</v>
      </c>
    </row>
    <row r="41" spans="1:11" x14ac:dyDescent="0.2">
      <c r="A41" s="3"/>
      <c r="B41" s="5">
        <v>46106</v>
      </c>
      <c r="C41" s="3" t="s">
        <v>21</v>
      </c>
      <c r="D41" s="3" t="s">
        <v>89</v>
      </c>
      <c r="E41" s="3"/>
      <c r="F41" s="3"/>
      <c r="G41" s="3" t="s">
        <v>474</v>
      </c>
      <c r="H41" s="3">
        <v>2.75</v>
      </c>
      <c r="I41" s="3" t="s">
        <v>475</v>
      </c>
      <c r="J41" s="3">
        <v>2750</v>
      </c>
      <c r="K41" s="6">
        <f t="shared" si="0"/>
        <v>2750</v>
      </c>
    </row>
    <row r="42" spans="1:11" x14ac:dyDescent="0.2">
      <c r="A42" s="3"/>
      <c r="B42" s="5">
        <v>46106</v>
      </c>
      <c r="C42" s="3" t="s">
        <v>21</v>
      </c>
      <c r="D42" s="3" t="s">
        <v>89</v>
      </c>
      <c r="E42" s="3"/>
      <c r="F42" s="3"/>
      <c r="G42" s="3" t="s">
        <v>474</v>
      </c>
      <c r="H42" s="3">
        <v>2.75</v>
      </c>
      <c r="I42" s="3" t="s">
        <v>475</v>
      </c>
      <c r="J42" s="3">
        <v>2750</v>
      </c>
      <c r="K42" s="6">
        <f t="shared" si="0"/>
        <v>2750</v>
      </c>
    </row>
    <row r="43" spans="1:11" x14ac:dyDescent="0.2">
      <c r="A43" s="3"/>
      <c r="B43" s="5">
        <v>46106</v>
      </c>
      <c r="C43" s="3" t="s">
        <v>21</v>
      </c>
      <c r="D43" s="3" t="s">
        <v>94</v>
      </c>
      <c r="E43" s="3"/>
      <c r="F43" s="3"/>
      <c r="G43" s="3" t="s">
        <v>476</v>
      </c>
      <c r="H43" s="3">
        <v>-43.665999999999997</v>
      </c>
      <c r="I43" s="3" t="s">
        <v>477</v>
      </c>
      <c r="J43" s="3">
        <v>43666</v>
      </c>
      <c r="K43" s="6">
        <f t="shared" si="0"/>
        <v>-43666</v>
      </c>
    </row>
    <row r="44" spans="1:11" x14ac:dyDescent="0.2">
      <c r="A44" s="3"/>
      <c r="B44" s="5">
        <v>46106</v>
      </c>
      <c r="C44" s="3" t="s">
        <v>21</v>
      </c>
      <c r="D44" s="3" t="s">
        <v>94</v>
      </c>
      <c r="E44" s="3"/>
      <c r="F44" s="3"/>
      <c r="G44" s="3" t="s">
        <v>478</v>
      </c>
      <c r="H44" s="3">
        <v>-39.75</v>
      </c>
      <c r="I44" s="3" t="s">
        <v>479</v>
      </c>
      <c r="J44" s="3">
        <v>39750</v>
      </c>
      <c r="K44" s="6">
        <f t="shared" si="0"/>
        <v>-39750</v>
      </c>
    </row>
    <row r="45" spans="1:11" x14ac:dyDescent="0.2">
      <c r="A45" s="3"/>
      <c r="B45" s="5">
        <v>46106</v>
      </c>
      <c r="C45" s="3" t="s">
        <v>21</v>
      </c>
      <c r="D45" s="3" t="s">
        <v>94</v>
      </c>
      <c r="E45" s="3"/>
      <c r="F45" s="3"/>
      <c r="G45" s="3" t="s">
        <v>485</v>
      </c>
      <c r="H45" s="3">
        <v>-19.844999999999999</v>
      </c>
      <c r="I45" s="3" t="s">
        <v>486</v>
      </c>
      <c r="J45" s="3">
        <v>19845</v>
      </c>
      <c r="K45" s="6">
        <f t="shared" si="0"/>
        <v>-19845</v>
      </c>
    </row>
    <row r="46" spans="1:11" x14ac:dyDescent="0.2">
      <c r="A46" s="3"/>
      <c r="B46" s="5">
        <v>46106</v>
      </c>
      <c r="C46" s="3" t="s">
        <v>21</v>
      </c>
      <c r="D46" s="3" t="s">
        <v>94</v>
      </c>
      <c r="E46" s="3"/>
      <c r="F46" s="3"/>
      <c r="G46" s="3" t="s">
        <v>487</v>
      </c>
      <c r="H46" s="3">
        <v>-29.795000000000002</v>
      </c>
      <c r="I46" s="3" t="s">
        <v>486</v>
      </c>
      <c r="J46" s="3">
        <v>29795</v>
      </c>
      <c r="K46" s="6">
        <f t="shared" si="0"/>
        <v>-29795</v>
      </c>
    </row>
    <row r="47" spans="1:11" x14ac:dyDescent="0.2">
      <c r="A47" s="3"/>
      <c r="B47" s="5">
        <v>46106</v>
      </c>
      <c r="C47" s="3" t="s">
        <v>21</v>
      </c>
      <c r="D47" s="3" t="s">
        <v>89</v>
      </c>
      <c r="E47" s="3"/>
      <c r="F47" s="3"/>
      <c r="G47" s="3" t="s">
        <v>492</v>
      </c>
      <c r="H47" s="3">
        <v>49.325000000000003</v>
      </c>
      <c r="I47" s="3" t="s">
        <v>493</v>
      </c>
      <c r="J47" s="3">
        <v>49325</v>
      </c>
      <c r="K47" s="6">
        <f t="shared" si="0"/>
        <v>49325</v>
      </c>
    </row>
    <row r="48" spans="1:11" x14ac:dyDescent="0.2">
      <c r="A48" s="3"/>
      <c r="B48" s="5">
        <v>46107</v>
      </c>
      <c r="C48" s="3" t="s">
        <v>21</v>
      </c>
      <c r="D48" s="3" t="s">
        <v>94</v>
      </c>
      <c r="E48" s="3"/>
      <c r="F48" s="3"/>
      <c r="G48" s="3" t="s">
        <v>508</v>
      </c>
      <c r="H48" s="3">
        <v>-9.8949999999999996</v>
      </c>
      <c r="I48" s="3" t="s">
        <v>509</v>
      </c>
      <c r="J48" s="3">
        <v>9895</v>
      </c>
      <c r="K48" s="6">
        <f t="shared" si="0"/>
        <v>-9895</v>
      </c>
    </row>
    <row r="49" spans="1:11" x14ac:dyDescent="0.2">
      <c r="A49" s="3"/>
      <c r="B49" s="5">
        <v>46107</v>
      </c>
      <c r="C49" s="3" t="s">
        <v>21</v>
      </c>
      <c r="D49" s="3" t="s">
        <v>89</v>
      </c>
      <c r="E49" s="3"/>
      <c r="F49" s="3"/>
      <c r="G49" s="3" t="s">
        <v>525</v>
      </c>
      <c r="H49" s="3">
        <v>120.075</v>
      </c>
      <c r="I49" s="3" t="s">
        <v>526</v>
      </c>
      <c r="J49" s="3">
        <v>120075</v>
      </c>
      <c r="K49" s="6">
        <f t="shared" si="0"/>
        <v>120075</v>
      </c>
    </row>
    <row r="50" spans="1:11" x14ac:dyDescent="0.2">
      <c r="A50" s="3"/>
      <c r="B50" s="5">
        <v>46107</v>
      </c>
      <c r="C50" s="3" t="s">
        <v>21</v>
      </c>
      <c r="D50" s="3" t="s">
        <v>89</v>
      </c>
      <c r="E50" s="3"/>
      <c r="F50" s="3"/>
      <c r="G50" s="3" t="s">
        <v>527</v>
      </c>
      <c r="H50" s="3">
        <v>13.87</v>
      </c>
      <c r="I50" s="3" t="s">
        <v>528</v>
      </c>
      <c r="J50" s="3">
        <v>13870</v>
      </c>
      <c r="K50" s="6">
        <f t="shared" si="0"/>
        <v>13870</v>
      </c>
    </row>
    <row r="51" spans="1:11" x14ac:dyDescent="0.2">
      <c r="A51" s="3"/>
      <c r="B51" s="5">
        <v>46108</v>
      </c>
      <c r="C51" s="3" t="s">
        <v>21</v>
      </c>
      <c r="D51" s="3" t="s">
        <v>94</v>
      </c>
      <c r="E51" s="3"/>
      <c r="F51" s="3"/>
      <c r="G51" s="3" t="s">
        <v>543</v>
      </c>
      <c r="H51" s="3">
        <v>-497.32799999999997</v>
      </c>
      <c r="I51" s="3" t="s">
        <v>544</v>
      </c>
      <c r="J51" s="3">
        <v>497328</v>
      </c>
      <c r="K51" s="6">
        <f t="shared" si="0"/>
        <v>-497328</v>
      </c>
    </row>
    <row r="52" spans="1:11" x14ac:dyDescent="0.2">
      <c r="A52" s="3"/>
      <c r="B52" s="5">
        <v>46108</v>
      </c>
      <c r="C52" s="3" t="s">
        <v>21</v>
      </c>
      <c r="D52" s="3" t="s">
        <v>89</v>
      </c>
      <c r="E52" s="3"/>
      <c r="F52" s="3"/>
      <c r="G52" s="3" t="s">
        <v>545</v>
      </c>
      <c r="H52" s="3">
        <v>493.25</v>
      </c>
      <c r="I52" s="3" t="s">
        <v>546</v>
      </c>
      <c r="J52" s="3">
        <v>493250</v>
      </c>
      <c r="K52" s="6">
        <f t="shared" si="0"/>
        <v>493250</v>
      </c>
    </row>
    <row r="53" spans="1:11" x14ac:dyDescent="0.2">
      <c r="A53" s="3"/>
      <c r="B53" s="5">
        <v>46108</v>
      </c>
      <c r="C53" s="3" t="s">
        <v>21</v>
      </c>
      <c r="D53" s="3" t="s">
        <v>89</v>
      </c>
      <c r="E53" s="3"/>
      <c r="F53" s="3"/>
      <c r="G53" s="3" t="s">
        <v>554</v>
      </c>
      <c r="H53" s="3">
        <v>19.492999999999999</v>
      </c>
      <c r="I53" s="3" t="s">
        <v>555</v>
      </c>
      <c r="J53" s="3">
        <v>19493</v>
      </c>
      <c r="K53" s="6">
        <f t="shared" si="0"/>
        <v>19493</v>
      </c>
    </row>
    <row r="54" spans="1:11" x14ac:dyDescent="0.2">
      <c r="A54" s="3"/>
      <c r="B54" s="5">
        <v>46108</v>
      </c>
      <c r="C54" s="3" t="s">
        <v>21</v>
      </c>
      <c r="D54" s="3" t="s">
        <v>89</v>
      </c>
      <c r="E54" s="3"/>
      <c r="F54" s="3"/>
      <c r="G54" s="3" t="s">
        <v>557</v>
      </c>
      <c r="H54" s="3">
        <v>10.050000000000001</v>
      </c>
      <c r="I54" s="3" t="s">
        <v>558</v>
      </c>
      <c r="J54" s="3">
        <v>10050</v>
      </c>
      <c r="K54" s="6">
        <f t="shared" si="0"/>
        <v>10050</v>
      </c>
    </row>
    <row r="55" spans="1:11" x14ac:dyDescent="0.2">
      <c r="A55" s="3"/>
      <c r="B55" s="5">
        <v>46108</v>
      </c>
      <c r="C55" s="3" t="s">
        <v>21</v>
      </c>
      <c r="D55" s="3" t="s">
        <v>89</v>
      </c>
      <c r="E55" s="3"/>
      <c r="F55" s="3"/>
      <c r="G55" s="3" t="s">
        <v>560</v>
      </c>
      <c r="H55" s="3">
        <v>2.8849999999999998</v>
      </c>
      <c r="I55" s="3" t="s">
        <v>561</v>
      </c>
      <c r="J55" s="3">
        <v>2885</v>
      </c>
      <c r="K55" s="6">
        <f t="shared" si="0"/>
        <v>2885</v>
      </c>
    </row>
    <row r="56" spans="1:11" x14ac:dyDescent="0.2">
      <c r="A56" s="3"/>
      <c r="B56" s="5">
        <v>46111</v>
      </c>
      <c r="C56" s="3" t="s">
        <v>21</v>
      </c>
      <c r="D56" s="3" t="s">
        <v>89</v>
      </c>
      <c r="E56" s="3"/>
      <c r="F56" s="3"/>
      <c r="G56" s="3" t="s">
        <v>568</v>
      </c>
      <c r="H56" s="3">
        <v>19.350000000000001</v>
      </c>
      <c r="I56" s="3" t="s">
        <v>569</v>
      </c>
      <c r="J56" s="3">
        <v>19350</v>
      </c>
      <c r="K56" s="6">
        <f t="shared" si="0"/>
        <v>19350</v>
      </c>
    </row>
    <row r="57" spans="1:11" x14ac:dyDescent="0.2">
      <c r="A57" s="3"/>
      <c r="B57" s="5">
        <v>46111</v>
      </c>
      <c r="C57" s="3" t="s">
        <v>21</v>
      </c>
      <c r="D57" s="3" t="s">
        <v>89</v>
      </c>
      <c r="E57" s="3"/>
      <c r="F57" s="3"/>
      <c r="G57" s="3" t="s">
        <v>578</v>
      </c>
      <c r="H57" s="3">
        <v>3.8540000000000001</v>
      </c>
      <c r="I57" s="3" t="s">
        <v>579</v>
      </c>
      <c r="J57" s="3">
        <v>3854</v>
      </c>
      <c r="K57" s="6">
        <f t="shared" si="0"/>
        <v>3854</v>
      </c>
    </row>
    <row r="58" spans="1:11" x14ac:dyDescent="0.2">
      <c r="A58" s="3"/>
      <c r="B58" s="5">
        <v>46086</v>
      </c>
      <c r="C58" s="3" t="s">
        <v>21</v>
      </c>
      <c r="D58" s="3" t="s">
        <v>94</v>
      </c>
      <c r="E58" s="3"/>
      <c r="F58" s="3"/>
      <c r="G58" s="3" t="s">
        <v>582</v>
      </c>
      <c r="H58" s="3">
        <v>-14.87</v>
      </c>
      <c r="I58" s="3" t="s">
        <v>583</v>
      </c>
      <c r="J58" s="3">
        <v>14870</v>
      </c>
      <c r="K58" s="6">
        <f t="shared" si="0"/>
        <v>-14870</v>
      </c>
    </row>
    <row r="59" spans="1:11" x14ac:dyDescent="0.2">
      <c r="A59" s="3"/>
      <c r="B59" s="5">
        <v>46111</v>
      </c>
      <c r="C59" s="3" t="s">
        <v>21</v>
      </c>
      <c r="D59" s="3" t="s">
        <v>89</v>
      </c>
      <c r="E59" s="3"/>
      <c r="F59" s="3"/>
      <c r="G59" s="3" t="s">
        <v>368</v>
      </c>
      <c r="H59" s="3">
        <v>5.0250000000000004</v>
      </c>
      <c r="I59" s="3" t="s">
        <v>588</v>
      </c>
      <c r="J59" s="3">
        <v>5025</v>
      </c>
      <c r="K59" s="6">
        <f t="shared" si="0"/>
        <v>5025</v>
      </c>
    </row>
    <row r="60" spans="1:11" x14ac:dyDescent="0.2">
      <c r="A60" s="3"/>
      <c r="B60" s="5">
        <v>46112</v>
      </c>
      <c r="C60" s="3" t="s">
        <v>21</v>
      </c>
      <c r="D60" s="3" t="s">
        <v>94</v>
      </c>
      <c r="E60" s="3"/>
      <c r="F60" s="3"/>
      <c r="G60" s="3" t="s">
        <v>591</v>
      </c>
      <c r="H60" s="3">
        <v>-7.9050000000000002</v>
      </c>
      <c r="I60" s="3" t="s">
        <v>592</v>
      </c>
      <c r="J60" s="3">
        <v>7905</v>
      </c>
      <c r="K60" s="6">
        <f t="shared" si="0"/>
        <v>-7905</v>
      </c>
    </row>
    <row r="61" spans="1:11" x14ac:dyDescent="0.2">
      <c r="A61" s="3"/>
      <c r="B61" s="5">
        <v>46112</v>
      </c>
      <c r="C61" s="3" t="s">
        <v>21</v>
      </c>
      <c r="D61" s="3" t="s">
        <v>94</v>
      </c>
      <c r="E61" s="3"/>
      <c r="F61" s="3"/>
      <c r="G61" s="3" t="s">
        <v>595</v>
      </c>
      <c r="H61" s="3">
        <v>-7.96</v>
      </c>
      <c r="I61" s="3" t="s">
        <v>547</v>
      </c>
      <c r="J61" s="3">
        <v>7960</v>
      </c>
      <c r="K61" s="6">
        <f t="shared" si="0"/>
        <v>-7960</v>
      </c>
    </row>
    <row r="62" spans="1:11" x14ac:dyDescent="0.2">
      <c r="A62" s="3"/>
      <c r="B62" s="5">
        <v>46112</v>
      </c>
      <c r="C62" s="3" t="s">
        <v>21</v>
      </c>
      <c r="D62" s="3" t="s">
        <v>94</v>
      </c>
      <c r="E62" s="3"/>
      <c r="F62" s="3"/>
      <c r="G62" s="3" t="s">
        <v>597</v>
      </c>
      <c r="H62" s="3">
        <v>-5.92</v>
      </c>
      <c r="I62" s="3" t="s">
        <v>598</v>
      </c>
      <c r="J62" s="3">
        <v>5920</v>
      </c>
      <c r="K62" s="6">
        <f t="shared" si="0"/>
        <v>-5920</v>
      </c>
    </row>
    <row r="63" spans="1:11" x14ac:dyDescent="0.2">
      <c r="A63" s="3"/>
      <c r="B63" s="5">
        <v>46112</v>
      </c>
      <c r="C63" s="3" t="s">
        <v>21</v>
      </c>
      <c r="D63" s="3" t="s">
        <v>94</v>
      </c>
      <c r="E63" s="3"/>
      <c r="F63" s="3"/>
      <c r="G63" s="3" t="s">
        <v>601</v>
      </c>
      <c r="H63" s="3">
        <v>-3.8460000000000001</v>
      </c>
      <c r="I63" s="3" t="s">
        <v>602</v>
      </c>
      <c r="J63" s="3">
        <v>3846</v>
      </c>
      <c r="K63" s="6">
        <f t="shared" si="0"/>
        <v>-3846</v>
      </c>
    </row>
    <row r="64" spans="1:11" x14ac:dyDescent="0.2">
      <c r="A64" s="3"/>
      <c r="B64" s="5">
        <v>46113</v>
      </c>
      <c r="C64" s="3" t="s">
        <v>21</v>
      </c>
      <c r="D64" s="3" t="s">
        <v>89</v>
      </c>
      <c r="E64" s="3"/>
      <c r="F64" s="3"/>
      <c r="G64" s="3" t="s">
        <v>625</v>
      </c>
      <c r="H64" s="3">
        <v>13.05</v>
      </c>
      <c r="I64" s="3" t="s">
        <v>626</v>
      </c>
      <c r="J64" s="3">
        <v>13050</v>
      </c>
      <c r="K64" s="6">
        <f t="shared" si="0"/>
        <v>13050</v>
      </c>
    </row>
    <row r="65" spans="1:11" x14ac:dyDescent="0.2">
      <c r="A65" s="3"/>
      <c r="B65" s="5">
        <v>46113</v>
      </c>
      <c r="C65" s="3" t="s">
        <v>21</v>
      </c>
      <c r="D65" s="3" t="s">
        <v>94</v>
      </c>
      <c r="E65" s="3"/>
      <c r="F65" s="3"/>
      <c r="G65" s="3" t="s">
        <v>629</v>
      </c>
      <c r="H65" s="3">
        <v>-12.238</v>
      </c>
      <c r="I65" s="3" t="s">
        <v>630</v>
      </c>
      <c r="J65" s="3">
        <v>12238</v>
      </c>
      <c r="K65" s="6">
        <f t="shared" si="0"/>
        <v>-12238</v>
      </c>
    </row>
    <row r="66" spans="1:11" x14ac:dyDescent="0.2">
      <c r="A66" s="3"/>
      <c r="B66" s="5">
        <v>46113</v>
      </c>
      <c r="C66" s="3" t="s">
        <v>21</v>
      </c>
      <c r="D66" s="3" t="s">
        <v>89</v>
      </c>
      <c r="E66" s="3"/>
      <c r="F66" s="3"/>
      <c r="G66" s="3" t="s">
        <v>631</v>
      </c>
      <c r="H66" s="3">
        <v>100</v>
      </c>
      <c r="I66" s="3" t="s">
        <v>632</v>
      </c>
      <c r="J66" s="3">
        <v>100</v>
      </c>
      <c r="K66" s="6">
        <f t="shared" si="0"/>
        <v>100</v>
      </c>
    </row>
    <row r="67" spans="1:11" x14ac:dyDescent="0.2">
      <c r="A67" s="3"/>
      <c r="B67" s="5">
        <v>46114</v>
      </c>
      <c r="C67" s="3" t="s">
        <v>21</v>
      </c>
      <c r="D67" s="3" t="s">
        <v>89</v>
      </c>
      <c r="E67" s="3"/>
      <c r="F67" s="3"/>
      <c r="G67" s="3" t="s">
        <v>634</v>
      </c>
      <c r="H67" s="3">
        <v>198.75</v>
      </c>
      <c r="I67" s="3" t="s">
        <v>635</v>
      </c>
      <c r="J67" s="3">
        <v>198750</v>
      </c>
      <c r="K67" s="7">
        <f t="shared" si="0"/>
        <v>198750</v>
      </c>
    </row>
    <row r="68" spans="1:11" x14ac:dyDescent="0.2">
      <c r="A68" s="3"/>
      <c r="B68" s="5">
        <v>46118</v>
      </c>
      <c r="C68" s="3" t="s">
        <v>21</v>
      </c>
      <c r="D68" s="3" t="s">
        <v>94</v>
      </c>
      <c r="E68" s="3"/>
      <c r="F68" s="3"/>
      <c r="G68" s="3" t="s">
        <v>640</v>
      </c>
      <c r="H68" s="3">
        <v>-2.93</v>
      </c>
      <c r="I68" s="3" t="s">
        <v>641</v>
      </c>
      <c r="J68" s="3">
        <v>2930</v>
      </c>
      <c r="K68" s="7">
        <f t="shared" si="0"/>
        <v>-2930</v>
      </c>
    </row>
    <row r="69" spans="1:11" x14ac:dyDescent="0.2">
      <c r="A69" s="3"/>
      <c r="B69" s="5">
        <v>46119</v>
      </c>
      <c r="C69" s="3" t="s">
        <v>21</v>
      </c>
      <c r="D69" s="3" t="s">
        <v>94</v>
      </c>
      <c r="E69" s="3"/>
      <c r="F69" s="3"/>
      <c r="G69" s="3" t="s">
        <v>258</v>
      </c>
      <c r="H69" s="3">
        <v>-1.2</v>
      </c>
      <c r="I69" s="3" t="s">
        <v>328</v>
      </c>
      <c r="J69" s="3">
        <v>1200</v>
      </c>
      <c r="K69" s="7">
        <f t="shared" si="0"/>
        <v>-1200</v>
      </c>
    </row>
    <row r="70" spans="1:11" x14ac:dyDescent="0.2">
      <c r="A70" s="3"/>
      <c r="B70" s="5">
        <v>46119</v>
      </c>
      <c r="C70" s="3" t="s">
        <v>21</v>
      </c>
      <c r="D70" s="3" t="s">
        <v>94</v>
      </c>
      <c r="E70" s="3"/>
      <c r="F70" s="3"/>
      <c r="G70" s="3" t="s">
        <v>650</v>
      </c>
      <c r="H70" s="3">
        <v>-13.115</v>
      </c>
      <c r="I70" s="3" t="s">
        <v>651</v>
      </c>
      <c r="J70" s="3">
        <v>13115</v>
      </c>
      <c r="K70" s="7">
        <f t="shared" si="0"/>
        <v>-13115</v>
      </c>
    </row>
    <row r="71" spans="1:11" x14ac:dyDescent="0.2">
      <c r="A71" s="3"/>
      <c r="B71" s="5">
        <v>46119</v>
      </c>
      <c r="C71" s="3" t="s">
        <v>21</v>
      </c>
      <c r="D71" s="3" t="s">
        <v>94</v>
      </c>
      <c r="E71" s="3"/>
      <c r="F71" s="3"/>
      <c r="G71" s="3" t="s">
        <v>652</v>
      </c>
      <c r="H71" s="3">
        <v>-25.25</v>
      </c>
      <c r="I71" s="3" t="s">
        <v>653</v>
      </c>
      <c r="J71" s="3">
        <v>25250</v>
      </c>
      <c r="K71" s="7">
        <f t="shared" ref="K71:K93" si="1">+IF(D71="Egreso", J71*-1,J71)</f>
        <v>-25250</v>
      </c>
    </row>
    <row r="72" spans="1:11" x14ac:dyDescent="0.2">
      <c r="A72" s="3"/>
      <c r="B72" s="5">
        <v>46120</v>
      </c>
      <c r="C72" s="3" t="s">
        <v>21</v>
      </c>
      <c r="D72" s="3" t="s">
        <v>94</v>
      </c>
      <c r="E72" s="3"/>
      <c r="F72" s="3"/>
      <c r="G72" s="3" t="s">
        <v>662</v>
      </c>
      <c r="H72" s="3">
        <v>-564</v>
      </c>
      <c r="I72" s="3" t="s">
        <v>663</v>
      </c>
      <c r="J72" s="3">
        <v>564</v>
      </c>
      <c r="K72" s="7">
        <f t="shared" si="1"/>
        <v>-564</v>
      </c>
    </row>
    <row r="73" spans="1:11" x14ac:dyDescent="0.2">
      <c r="A73" s="3"/>
      <c r="B73" s="5">
        <v>46120</v>
      </c>
      <c r="C73" s="3" t="s">
        <v>21</v>
      </c>
      <c r="D73" s="3" t="s">
        <v>94</v>
      </c>
      <c r="E73" s="3"/>
      <c r="F73" s="3"/>
      <c r="G73" s="3" t="s">
        <v>664</v>
      </c>
      <c r="H73" s="3">
        <v>-4.1689999999999996</v>
      </c>
      <c r="I73" s="3" t="s">
        <v>665</v>
      </c>
      <c r="J73" s="3">
        <v>4169</v>
      </c>
      <c r="K73" s="7">
        <f t="shared" si="1"/>
        <v>-4169</v>
      </c>
    </row>
    <row r="74" spans="1:11" x14ac:dyDescent="0.2">
      <c r="A74" s="3"/>
      <c r="B74" s="5">
        <v>46120</v>
      </c>
      <c r="C74" s="3" t="s">
        <v>21</v>
      </c>
      <c r="D74" s="3" t="s">
        <v>94</v>
      </c>
      <c r="E74" s="3"/>
      <c r="F74" s="3"/>
      <c r="G74" s="3" t="s">
        <v>666</v>
      </c>
      <c r="H74" s="3">
        <v>-15.368</v>
      </c>
      <c r="I74" s="3" t="s">
        <v>667</v>
      </c>
      <c r="J74" s="3">
        <v>15368</v>
      </c>
      <c r="K74" s="7">
        <f t="shared" si="1"/>
        <v>-15368</v>
      </c>
    </row>
    <row r="75" spans="1:11" x14ac:dyDescent="0.2">
      <c r="A75" s="3"/>
      <c r="B75" s="5">
        <v>46120</v>
      </c>
      <c r="C75" s="3" t="s">
        <v>21</v>
      </c>
      <c r="D75" s="3" t="s">
        <v>94</v>
      </c>
      <c r="E75" s="3"/>
      <c r="F75" s="3"/>
      <c r="G75" s="3"/>
      <c r="H75" s="3">
        <v>0</v>
      </c>
      <c r="I75" s="3"/>
      <c r="J75" s="3"/>
      <c r="K75" s="2">
        <f t="shared" si="1"/>
        <v>0</v>
      </c>
    </row>
    <row r="76" spans="1:11" x14ac:dyDescent="0.2">
      <c r="A76" s="3"/>
      <c r="B76" s="5">
        <v>46120</v>
      </c>
      <c r="C76" s="3" t="s">
        <v>21</v>
      </c>
      <c r="D76" s="3" t="s">
        <v>89</v>
      </c>
      <c r="E76" s="3"/>
      <c r="F76" s="3"/>
      <c r="G76" s="3" t="s">
        <v>678</v>
      </c>
      <c r="H76" s="3">
        <v>6.05</v>
      </c>
      <c r="I76" s="3" t="s">
        <v>679</v>
      </c>
      <c r="J76" s="3">
        <v>6050</v>
      </c>
      <c r="K76" s="7">
        <f t="shared" si="1"/>
        <v>6050</v>
      </c>
    </row>
    <row r="77" spans="1:11" x14ac:dyDescent="0.2">
      <c r="A77" s="3"/>
      <c r="B77" s="5">
        <v>46121</v>
      </c>
      <c r="C77" s="3" t="s">
        <v>21</v>
      </c>
      <c r="D77" s="3" t="s">
        <v>94</v>
      </c>
      <c r="E77" s="3"/>
      <c r="F77" s="3"/>
      <c r="G77" s="3" t="s">
        <v>681</v>
      </c>
      <c r="H77" s="3">
        <v>-205</v>
      </c>
      <c r="I77" s="3" t="s">
        <v>682</v>
      </c>
      <c r="J77" s="3">
        <v>205000</v>
      </c>
      <c r="K77" s="6">
        <f t="shared" si="1"/>
        <v>-205000</v>
      </c>
    </row>
    <row r="78" spans="1:11" x14ac:dyDescent="0.2">
      <c r="A78" s="3"/>
      <c r="B78" s="5">
        <v>46121</v>
      </c>
      <c r="C78" s="3" t="s">
        <v>21</v>
      </c>
      <c r="D78" s="3" t="s">
        <v>94</v>
      </c>
      <c r="E78" s="3"/>
      <c r="F78" s="3"/>
      <c r="G78" s="3" t="s">
        <v>688</v>
      </c>
      <c r="H78" s="3">
        <v>-9.8849999999999998</v>
      </c>
      <c r="I78" s="3" t="s">
        <v>641</v>
      </c>
      <c r="J78" s="3">
        <v>9885</v>
      </c>
      <c r="K78" s="7">
        <f t="shared" si="1"/>
        <v>-9885</v>
      </c>
    </row>
    <row r="79" spans="1:11" x14ac:dyDescent="0.2">
      <c r="A79" s="3"/>
      <c r="B79" s="5">
        <v>46121</v>
      </c>
      <c r="C79" s="3" t="s">
        <v>21</v>
      </c>
      <c r="D79" s="3" t="s">
        <v>94</v>
      </c>
      <c r="E79" s="3"/>
      <c r="F79" s="3"/>
      <c r="G79" s="3" t="s">
        <v>695</v>
      </c>
      <c r="H79" s="3">
        <v>-13.875</v>
      </c>
      <c r="I79" s="3" t="s">
        <v>696</v>
      </c>
      <c r="J79" s="3">
        <v>13875</v>
      </c>
      <c r="K79" s="7">
        <f t="shared" si="1"/>
        <v>-13875</v>
      </c>
    </row>
    <row r="80" spans="1:11" x14ac:dyDescent="0.2">
      <c r="A80" s="3"/>
      <c r="B80" s="5">
        <v>46121</v>
      </c>
      <c r="C80" s="3" t="s">
        <v>21</v>
      </c>
      <c r="D80" s="3" t="s">
        <v>89</v>
      </c>
      <c r="E80" s="3"/>
      <c r="F80" s="3"/>
      <c r="G80" s="3" t="s">
        <v>699</v>
      </c>
      <c r="H80" s="3">
        <v>13.538</v>
      </c>
      <c r="I80" s="3" t="s">
        <v>701</v>
      </c>
      <c r="J80" s="3">
        <v>13538</v>
      </c>
      <c r="K80" s="6">
        <f t="shared" si="1"/>
        <v>13538</v>
      </c>
    </row>
    <row r="81" spans="1:11" ht="17" thickBot="1" x14ac:dyDescent="0.25">
      <c r="A81" s="3"/>
      <c r="B81" s="5">
        <v>46122</v>
      </c>
      <c r="C81" s="3" t="s">
        <v>21</v>
      </c>
      <c r="D81" s="3" t="s">
        <v>94</v>
      </c>
      <c r="E81" s="3"/>
      <c r="F81" s="3"/>
      <c r="G81" s="3" t="s">
        <v>706</v>
      </c>
      <c r="H81" s="3">
        <v>-25.86</v>
      </c>
      <c r="I81" s="3" t="s">
        <v>48</v>
      </c>
      <c r="J81" s="3">
        <v>25860</v>
      </c>
      <c r="K81" s="7">
        <f t="shared" si="1"/>
        <v>-25860</v>
      </c>
    </row>
    <row r="82" spans="1:11" s="17" customFormat="1" ht="17" thickBot="1" x14ac:dyDescent="0.25">
      <c r="A82" s="13"/>
      <c r="B82" s="14">
        <v>46122</v>
      </c>
      <c r="C82" s="15" t="s">
        <v>21</v>
      </c>
      <c r="D82" s="15" t="s">
        <v>94</v>
      </c>
      <c r="E82" s="15"/>
      <c r="F82" s="15"/>
      <c r="G82" s="15" t="s">
        <v>508</v>
      </c>
      <c r="H82" s="15">
        <v>-9.8949999999999996</v>
      </c>
      <c r="I82" s="15" t="s">
        <v>708</v>
      </c>
      <c r="J82" s="15">
        <v>9895</v>
      </c>
      <c r="K82" s="16">
        <f t="shared" si="1"/>
        <v>-9895</v>
      </c>
    </row>
    <row r="83" spans="1:11" x14ac:dyDescent="0.2">
      <c r="A83" s="3"/>
      <c r="B83" s="5">
        <v>46122</v>
      </c>
      <c r="C83" s="3" t="s">
        <v>21</v>
      </c>
      <c r="D83" s="3" t="s">
        <v>94</v>
      </c>
      <c r="E83" s="3"/>
      <c r="F83" s="3"/>
      <c r="G83" s="3" t="s">
        <v>714</v>
      </c>
      <c r="H83" s="3">
        <v>-57.42</v>
      </c>
      <c r="I83" s="3" t="s">
        <v>51</v>
      </c>
      <c r="J83" s="3">
        <v>57420</v>
      </c>
      <c r="K83" s="6">
        <f t="shared" si="1"/>
        <v>-57420</v>
      </c>
    </row>
    <row r="84" spans="1:11" x14ac:dyDescent="0.2">
      <c r="A84" s="3"/>
      <c r="B84" s="5">
        <v>46122</v>
      </c>
      <c r="C84" s="3" t="s">
        <v>21</v>
      </c>
      <c r="D84" s="3" t="s">
        <v>89</v>
      </c>
      <c r="E84" s="3"/>
      <c r="F84" s="3"/>
      <c r="G84" s="3" t="s">
        <v>716</v>
      </c>
      <c r="H84" s="3">
        <v>1.03</v>
      </c>
      <c r="I84" s="3" t="s">
        <v>717</v>
      </c>
      <c r="J84" s="3">
        <v>1030</v>
      </c>
      <c r="K84" s="7">
        <f t="shared" si="1"/>
        <v>1030</v>
      </c>
    </row>
    <row r="85" spans="1:11" x14ac:dyDescent="0.2">
      <c r="A85" s="3"/>
      <c r="B85" s="5">
        <v>46122</v>
      </c>
      <c r="C85" s="3" t="s">
        <v>21</v>
      </c>
      <c r="D85" s="3" t="s">
        <v>89</v>
      </c>
      <c r="E85" s="3"/>
      <c r="F85" s="3"/>
      <c r="G85" s="3" t="s">
        <v>719</v>
      </c>
      <c r="H85" s="3">
        <v>15.074999999999999</v>
      </c>
      <c r="I85" s="3" t="s">
        <v>718</v>
      </c>
      <c r="J85" s="3">
        <v>15075</v>
      </c>
      <c r="K85" s="7">
        <f t="shared" si="1"/>
        <v>15075</v>
      </c>
    </row>
    <row r="86" spans="1:11" x14ac:dyDescent="0.2">
      <c r="A86" s="3"/>
      <c r="B86" s="5">
        <v>46122</v>
      </c>
      <c r="C86" s="3" t="s">
        <v>21</v>
      </c>
      <c r="D86" s="3" t="s">
        <v>89</v>
      </c>
      <c r="E86" s="3"/>
      <c r="F86" s="3"/>
      <c r="G86" s="3" t="s">
        <v>715</v>
      </c>
      <c r="H86" s="3">
        <v>56.554000000000002</v>
      </c>
      <c r="I86" s="3" t="s">
        <v>51</v>
      </c>
      <c r="J86" s="3">
        <v>56554</v>
      </c>
      <c r="K86" s="6">
        <f t="shared" si="1"/>
        <v>56554</v>
      </c>
    </row>
    <row r="87" spans="1:11" x14ac:dyDescent="0.2">
      <c r="A87" s="3"/>
      <c r="B87" s="5">
        <v>46125</v>
      </c>
      <c r="C87" s="3" t="s">
        <v>21</v>
      </c>
      <c r="D87" s="3" t="s">
        <v>94</v>
      </c>
      <c r="E87" s="3" t="s">
        <v>731</v>
      </c>
      <c r="F87" s="3" t="s">
        <v>9</v>
      </c>
      <c r="G87" s="3" t="s">
        <v>733</v>
      </c>
      <c r="H87" s="3">
        <v>-4.3780000000000001</v>
      </c>
      <c r="I87" s="3" t="s">
        <v>57</v>
      </c>
      <c r="J87" s="3">
        <v>4378</v>
      </c>
      <c r="K87" s="7">
        <f t="shared" si="1"/>
        <v>-4378</v>
      </c>
    </row>
    <row r="88" spans="1:11" x14ac:dyDescent="0.2">
      <c r="A88" s="3"/>
      <c r="B88" s="5">
        <v>46125</v>
      </c>
      <c r="C88" s="3" t="s">
        <v>21</v>
      </c>
      <c r="D88" s="3" t="s">
        <v>94</v>
      </c>
      <c r="E88" s="3" t="s">
        <v>731</v>
      </c>
      <c r="F88" s="3" t="s">
        <v>9</v>
      </c>
      <c r="G88" s="3" t="s">
        <v>738</v>
      </c>
      <c r="H88" s="3">
        <v>-5.2080000000000002</v>
      </c>
      <c r="I88" s="3"/>
      <c r="J88" s="3">
        <v>5208</v>
      </c>
      <c r="K88" s="7">
        <f t="shared" si="1"/>
        <v>-5208</v>
      </c>
    </row>
    <row r="89" spans="1:11" s="11" customFormat="1" x14ac:dyDescent="0.2">
      <c r="B89" s="11" t="s">
        <v>760</v>
      </c>
      <c r="C89" s="11" t="s">
        <v>21</v>
      </c>
      <c r="D89" s="11" t="s">
        <v>94</v>
      </c>
      <c r="E89" s="11" t="s">
        <v>731</v>
      </c>
      <c r="F89" s="11" t="s">
        <v>9</v>
      </c>
      <c r="G89" s="11" t="s">
        <v>582</v>
      </c>
      <c r="H89" s="11">
        <v>-14.87</v>
      </c>
      <c r="I89" s="11" t="s">
        <v>488</v>
      </c>
      <c r="J89" s="11">
        <v>14870</v>
      </c>
      <c r="K89" s="10">
        <f t="shared" si="1"/>
        <v>-14870</v>
      </c>
    </row>
    <row r="90" spans="1:11" x14ac:dyDescent="0.2">
      <c r="A90" s="3"/>
      <c r="B90" s="3" t="s">
        <v>760</v>
      </c>
      <c r="C90" s="3" t="s">
        <v>21</v>
      </c>
      <c r="D90" s="3" t="s">
        <v>94</v>
      </c>
      <c r="E90" s="3" t="s">
        <v>731</v>
      </c>
      <c r="F90" s="3" t="s">
        <v>9</v>
      </c>
      <c r="G90" s="3" t="s">
        <v>764</v>
      </c>
      <c r="H90" s="3">
        <v>-5.0750000000000002</v>
      </c>
      <c r="I90" s="3" t="s">
        <v>765</v>
      </c>
      <c r="J90" s="3">
        <v>5075</v>
      </c>
      <c r="K90" s="7">
        <f t="shared" si="1"/>
        <v>-5075</v>
      </c>
    </row>
    <row r="91" spans="1:11" s="11" customFormat="1" x14ac:dyDescent="0.2">
      <c r="B91" s="12">
        <v>46126</v>
      </c>
      <c r="C91" s="11" t="s">
        <v>21</v>
      </c>
      <c r="D91" s="11" t="s">
        <v>94</v>
      </c>
      <c r="E91" s="11" t="s">
        <v>731</v>
      </c>
      <c r="F91" s="11" t="s">
        <v>9</v>
      </c>
      <c r="G91" s="11" t="s">
        <v>766</v>
      </c>
      <c r="H91" s="11">
        <v>-536</v>
      </c>
      <c r="J91" s="11">
        <v>536</v>
      </c>
      <c r="K91" s="10">
        <f t="shared" si="1"/>
        <v>-536</v>
      </c>
    </row>
    <row r="92" spans="1:11" x14ac:dyDescent="0.2">
      <c r="A92" s="3"/>
      <c r="B92" s="5">
        <v>46126</v>
      </c>
      <c r="C92" s="3" t="s">
        <v>21</v>
      </c>
      <c r="D92" s="3" t="s">
        <v>94</v>
      </c>
      <c r="E92" s="3" t="s">
        <v>731</v>
      </c>
      <c r="F92" s="3" t="s">
        <v>9</v>
      </c>
      <c r="G92" s="3" t="s">
        <v>767</v>
      </c>
      <c r="H92" s="3">
        <v>-200</v>
      </c>
      <c r="I92" s="3" t="s">
        <v>768</v>
      </c>
      <c r="J92" s="3">
        <v>200000</v>
      </c>
      <c r="K92" s="7">
        <f t="shared" si="1"/>
        <v>-200000</v>
      </c>
    </row>
    <row r="93" spans="1:11" x14ac:dyDescent="0.2">
      <c r="A93" s="3"/>
      <c r="B93" s="5">
        <v>46127</v>
      </c>
      <c r="C93" s="3" t="s">
        <v>21</v>
      </c>
      <c r="D93" s="3" t="s">
        <v>94</v>
      </c>
      <c r="E93" s="3" t="s">
        <v>731</v>
      </c>
      <c r="F93" s="3" t="s">
        <v>9</v>
      </c>
      <c r="G93" s="3" t="s">
        <v>781</v>
      </c>
      <c r="H93" s="3">
        <v>-149.19999999999999</v>
      </c>
      <c r="I93" s="3" t="s">
        <v>782</v>
      </c>
      <c r="J93" s="3">
        <v>149200</v>
      </c>
      <c r="K93" s="6">
        <f t="shared" si="1"/>
        <v>-149200</v>
      </c>
    </row>
  </sheetData>
  <autoFilter ref="A5:J93" xr:uid="{0E58DFAC-1DE8-8146-9848-DE7D657BC74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6ADC-89FA-7A4C-9FDC-B632440670A0}">
  <dimension ref="A1:A11"/>
  <sheetViews>
    <sheetView tabSelected="1" workbookViewId="0">
      <selection activeCell="A20" sqref="A20"/>
    </sheetView>
  </sheetViews>
  <sheetFormatPr baseColWidth="10" defaultRowHeight="16" x14ac:dyDescent="0.2"/>
  <sheetData>
    <row r="1" spans="1:1" ht="17" x14ac:dyDescent="0.2">
      <c r="A1" s="18" t="s">
        <v>785</v>
      </c>
    </row>
    <row r="2" spans="1:1" ht="20" x14ac:dyDescent="0.2">
      <c r="A2" s="19" t="s">
        <v>786</v>
      </c>
    </row>
    <row r="3" spans="1:1" ht="17" x14ac:dyDescent="0.2">
      <c r="A3" s="20" t="s">
        <v>787</v>
      </c>
    </row>
    <row r="4" spans="1:1" ht="20" x14ac:dyDescent="0.2">
      <c r="A4" s="19" t="s">
        <v>788</v>
      </c>
    </row>
    <row r="5" spans="1:1" ht="17" x14ac:dyDescent="0.2">
      <c r="A5" s="20" t="s">
        <v>789</v>
      </c>
    </row>
    <row r="6" spans="1:1" ht="17" x14ac:dyDescent="0.2">
      <c r="A6" s="20" t="s">
        <v>790</v>
      </c>
    </row>
    <row r="7" spans="1:1" ht="17" x14ac:dyDescent="0.2">
      <c r="A7" s="18" t="s">
        <v>791</v>
      </c>
    </row>
    <row r="8" spans="1:1" ht="17" x14ac:dyDescent="0.2">
      <c r="A8" s="18" t="s">
        <v>792</v>
      </c>
    </row>
    <row r="9" spans="1:1" ht="17" x14ac:dyDescent="0.2">
      <c r="A9" s="18" t="s">
        <v>793</v>
      </c>
    </row>
    <row r="11" spans="1:1" ht="17" x14ac:dyDescent="0.2">
      <c r="A11" s="20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CC detalle movimientos</vt:lpstr>
      <vt:lpstr>Hoja1</vt:lpstr>
      <vt:lpstr>Rou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Bustos</cp:lastModifiedBy>
  <dcterms:created xsi:type="dcterms:W3CDTF">2026-04-15T15:37:11Z</dcterms:created>
  <dcterms:modified xsi:type="dcterms:W3CDTF">2026-04-20T13:52:08Z</dcterms:modified>
</cp:coreProperties>
</file>